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hilashGokhale\OneDrive - Evora IT Solutions Group GmbH\Desktop\dummy webite\ExcelLabs\assets\files\"/>
    </mc:Choice>
  </mc:AlternateContent>
  <xr:revisionPtr revIDLastSave="0" documentId="13_ncr:1_{0E346BD6-7289-4411-B894-E9714CAF97DA}" xr6:coauthVersionLast="47" xr6:coauthVersionMax="47" xr10:uidLastSave="{00000000-0000-0000-0000-000000000000}"/>
  <bookViews>
    <workbookView xWindow="-28920" yWindow="-75" windowWidth="29040" windowHeight="15720" xr2:uid="{00000000-000D-0000-FFFF-FFFF00000000}"/>
  </bookViews>
  <sheets>
    <sheet name="Teams" sheetId="1" r:id="rId1"/>
    <sheet name="Away" sheetId="5" state="veryHidden" r:id="rId2"/>
    <sheet name="Fixtures" sheetId="6" state="hidden" r:id="rId3"/>
    <sheet name="Calculations" sheetId="8" state="hidden" r:id="rId4"/>
    <sheet name="League Table" sheetId="10" state="hidden" r:id="rId5"/>
    <sheet name="fixture" sheetId="7" r:id="rId6"/>
    <sheet name="Home" sheetId="4" state="veryHidden" r:id="rId7"/>
    <sheet name="Random" sheetId="3" state="veryHidden" r:id="rId8"/>
    <sheet name="Basic data" sheetId="2" state="veryHidden" r:id="rId9"/>
  </sheets>
  <externalReferences>
    <externalReference r:id="rId10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2" i="3" l="1"/>
  <c r="A23" i="3"/>
  <c r="A24" i="3"/>
  <c r="A25" i="3"/>
  <c r="A26" i="3"/>
  <c r="A27" i="3"/>
  <c r="U32" i="8"/>
  <c r="L32" i="8" a="1"/>
  <c r="L32" i="8" s="1"/>
  <c r="F21" i="8" a="1"/>
  <c r="F21" i="8" s="1"/>
  <c r="F23" i="8" a="1"/>
  <c r="F23" i="8" s="1"/>
  <c r="F27" i="8" a="1"/>
  <c r="F27" i="8" s="1"/>
  <c r="E21" i="8" a="1"/>
  <c r="E21" i="8" s="1"/>
  <c r="E22" i="8" a="1"/>
  <c r="E22" i="8" s="1"/>
  <c r="E23" i="8" a="1"/>
  <c r="E23" i="8" s="1"/>
  <c r="D21" i="8"/>
  <c r="D22" i="8"/>
  <c r="D23" i="8"/>
  <c r="D24" i="8"/>
  <c r="D26" i="8"/>
  <c r="C21" i="8"/>
  <c r="H21" i="8" s="1"/>
  <c r="C22" i="8"/>
  <c r="N22" i="8" s="1" a="1"/>
  <c r="N22" i="8" s="1"/>
  <c r="C23" i="8"/>
  <c r="N23" i="8" s="1" a="1"/>
  <c r="N23" i="8" s="1"/>
  <c r="C24" i="8"/>
  <c r="P24" i="8" s="1"/>
  <c r="C25" i="8"/>
  <c r="L25" i="8" s="1" a="1"/>
  <c r="L25" i="8" s="1"/>
  <c r="C26" i="8"/>
  <c r="F26" i="8" s="1" a="1"/>
  <c r="F26" i="8" s="1"/>
  <c r="C27" i="8"/>
  <c r="G27" i="8" s="1" a="1"/>
  <c r="G27" i="8" s="1"/>
  <c r="C34" i="3"/>
  <c r="C35" i="3"/>
  <c r="C36" i="3"/>
  <c r="C37" i="3"/>
  <c r="E25" i="8" l="1" a="1"/>
  <c r="E25" i="8" s="1"/>
  <c r="F25" i="8" a="1"/>
  <c r="F25" i="8" s="1"/>
  <c r="G26" i="8" a="1"/>
  <c r="G26" i="8" s="1"/>
  <c r="H27" i="8"/>
  <c r="I23" i="8"/>
  <c r="L24" i="8" a="1"/>
  <c r="L24" i="8" s="1"/>
  <c r="M27" i="8" a="1"/>
  <c r="M27" i="8" s="1"/>
  <c r="O23" i="8"/>
  <c r="P23" i="8"/>
  <c r="D25" i="8"/>
  <c r="E24" i="8" a="1"/>
  <c r="E24" i="8" s="1"/>
  <c r="K24" i="8" s="1"/>
  <c r="F24" i="8" a="1"/>
  <c r="F24" i="8" s="1"/>
  <c r="G25" i="8" a="1"/>
  <c r="G25" i="8" s="1"/>
  <c r="H26" i="8"/>
  <c r="I22" i="8"/>
  <c r="L23" i="8" a="1"/>
  <c r="L23" i="8" s="1"/>
  <c r="R23" i="8" s="1"/>
  <c r="M26" i="8" a="1"/>
  <c r="M26" i="8" s="1"/>
  <c r="O22" i="8"/>
  <c r="P22" i="8"/>
  <c r="G24" i="8" a="1"/>
  <c r="G24" i="8" s="1"/>
  <c r="H25" i="8"/>
  <c r="I21" i="8"/>
  <c r="J21" i="8" s="1"/>
  <c r="L22" i="8" a="1"/>
  <c r="L22" i="8" s="1"/>
  <c r="R22" i="8" s="1"/>
  <c r="M25" i="8" a="1"/>
  <c r="M25" i="8" s="1"/>
  <c r="N27" i="8" a="1"/>
  <c r="N27" i="8" s="1"/>
  <c r="F22" i="8" a="1"/>
  <c r="F22" i="8" s="1"/>
  <c r="G23" i="8" a="1"/>
  <c r="G23" i="8" s="1"/>
  <c r="K23" i="8" s="1"/>
  <c r="U23" i="8" s="1"/>
  <c r="H24" i="8"/>
  <c r="L21" i="8" a="1"/>
  <c r="L21" i="8" s="1"/>
  <c r="M24" i="8" a="1"/>
  <c r="M24" i="8" s="1"/>
  <c r="N26" i="8" a="1"/>
  <c r="N26" i="8" s="1"/>
  <c r="G22" i="8" a="1"/>
  <c r="G22" i="8" s="1"/>
  <c r="K22" i="8" s="1"/>
  <c r="U22" i="8" s="1"/>
  <c r="H23" i="8"/>
  <c r="I27" i="8"/>
  <c r="M23" i="8" a="1"/>
  <c r="M23" i="8" s="1"/>
  <c r="N25" i="8" a="1"/>
  <c r="N25" i="8" s="1"/>
  <c r="R25" i="8" s="1"/>
  <c r="O27" i="8"/>
  <c r="Q27" i="8" s="1"/>
  <c r="P27" i="8"/>
  <c r="G21" i="8" a="1"/>
  <c r="G21" i="8" s="1"/>
  <c r="K21" i="8" s="1"/>
  <c r="H22" i="8"/>
  <c r="I26" i="8"/>
  <c r="L27" i="8" a="1"/>
  <c r="L27" i="8" s="1"/>
  <c r="M22" i="8" a="1"/>
  <c r="M22" i="8" s="1"/>
  <c r="N24" i="8" a="1"/>
  <c r="N24" i="8" s="1"/>
  <c r="O26" i="8"/>
  <c r="Q26" i="8" s="1"/>
  <c r="P26" i="8"/>
  <c r="I25" i="8"/>
  <c r="L26" i="8" a="1"/>
  <c r="L26" i="8" s="1"/>
  <c r="R26" i="8" s="1"/>
  <c r="O25" i="8"/>
  <c r="Q25" i="8" s="1"/>
  <c r="P25" i="8"/>
  <c r="E27" i="8" a="1"/>
  <c r="E27" i="8" s="1"/>
  <c r="K27" i="8" s="1"/>
  <c r="D27" i="8"/>
  <c r="E26" i="8" a="1"/>
  <c r="E26" i="8" s="1"/>
  <c r="K26" i="8" s="1"/>
  <c r="I24" i="8"/>
  <c r="O24" i="8"/>
  <c r="Q24" i="8" s="1"/>
  <c r="E4" i="1"/>
  <c r="R27" i="8" l="1"/>
  <c r="Q22" i="8"/>
  <c r="U27" i="8"/>
  <c r="K25" i="8"/>
  <c r="U25" i="8" s="1"/>
  <c r="Q23" i="8"/>
  <c r="J23" i="8"/>
  <c r="S23" i="8" s="1"/>
  <c r="T23" i="8"/>
  <c r="J22" i="8"/>
  <c r="T22" i="8"/>
  <c r="J26" i="8"/>
  <c r="S26" i="8" s="1"/>
  <c r="T26" i="8"/>
  <c r="R24" i="8"/>
  <c r="U24" i="8" s="1"/>
  <c r="U26" i="8"/>
  <c r="T25" i="8"/>
  <c r="J25" i="8"/>
  <c r="S25" i="8" s="1"/>
  <c r="T24" i="8"/>
  <c r="J24" i="8"/>
  <c r="S24" i="8" s="1"/>
  <c r="J27" i="8"/>
  <c r="S27" i="8" s="1"/>
  <c r="T27" i="8"/>
  <c r="O35" i="10"/>
  <c r="O36" i="10"/>
  <c r="U35" i="8"/>
  <c r="U36" i="8"/>
  <c r="U38" i="8"/>
  <c r="T35" i="8"/>
  <c r="T36" i="8"/>
  <c r="T38" i="8"/>
  <c r="T39" i="8"/>
  <c r="S35" i="8"/>
  <c r="S36" i="8"/>
  <c r="S38" i="8"/>
  <c r="S39" i="8"/>
  <c r="R35" i="8"/>
  <c r="R36" i="8"/>
  <c r="R38" i="8"/>
  <c r="Q35" i="8"/>
  <c r="Q36" i="8"/>
  <c r="Q37" i="8"/>
  <c r="P35" i="8"/>
  <c r="P36" i="8"/>
  <c r="P37" i="8"/>
  <c r="O35" i="8"/>
  <c r="O36" i="8"/>
  <c r="O37" i="8"/>
  <c r="T37" i="8" s="1"/>
  <c r="O38" i="8"/>
  <c r="O39" i="8"/>
  <c r="O40" i="8"/>
  <c r="N35" i="8" a="1"/>
  <c r="N35" i="8" s="1"/>
  <c r="N36" i="8" a="1"/>
  <c r="N36" i="8" s="1"/>
  <c r="N37" i="8" a="1"/>
  <c r="N37" i="8" s="1"/>
  <c r="N38" i="8" a="1"/>
  <c r="N38" i="8" s="1"/>
  <c r="L35" i="8" a="1"/>
  <c r="L35" i="8" s="1"/>
  <c r="L36" i="8" a="1"/>
  <c r="L36" i="8" s="1"/>
  <c r="L37" i="8" a="1"/>
  <c r="L37" i="8" s="1"/>
  <c r="R37" i="8" s="1"/>
  <c r="L38" i="8" a="1"/>
  <c r="L38" i="8" s="1"/>
  <c r="K35" i="8"/>
  <c r="K36" i="8"/>
  <c r="K37" i="8"/>
  <c r="K38" i="8"/>
  <c r="J35" i="8"/>
  <c r="J36" i="8"/>
  <c r="J37" i="8"/>
  <c r="S37" i="8" s="1"/>
  <c r="C3" i="8"/>
  <c r="D3" i="8" s="1"/>
  <c r="G3" i="8" a="1"/>
  <c r="G3" i="8" s="1"/>
  <c r="I35" i="8"/>
  <c r="I36" i="8"/>
  <c r="F5" i="8" a="1"/>
  <c r="F5" i="8" s="1"/>
  <c r="E5" i="8" a="1"/>
  <c r="E5" i="8" s="1"/>
  <c r="E32" i="8" a="1"/>
  <c r="E32" i="8" s="1"/>
  <c r="A3" i="10"/>
  <c r="C4" i="8"/>
  <c r="L4" i="8" s="1" a="1"/>
  <c r="L4" i="8" s="1"/>
  <c r="C5" i="8"/>
  <c r="P5" i="8" s="1"/>
  <c r="C6" i="8"/>
  <c r="P6" i="8" s="1"/>
  <c r="C7" i="8"/>
  <c r="I7" i="8" s="1"/>
  <c r="C8" i="8"/>
  <c r="A8" i="10" s="1"/>
  <c r="C9" i="8"/>
  <c r="A9" i="10" s="1"/>
  <c r="C10" i="8"/>
  <c r="A10" i="10" s="1"/>
  <c r="C11" i="8"/>
  <c r="A11" i="10" s="1"/>
  <c r="C12" i="8"/>
  <c r="A12" i="10" s="1"/>
  <c r="C13" i="8"/>
  <c r="A13" i="10" s="1"/>
  <c r="C14" i="8"/>
  <c r="D14" i="8" s="1"/>
  <c r="C15" i="8"/>
  <c r="P15" i="8" s="1"/>
  <c r="C16" i="8"/>
  <c r="A16" i="10" s="1"/>
  <c r="C17" i="8"/>
  <c r="M17" i="8" s="1" a="1"/>
  <c r="M17" i="8" s="1"/>
  <c r="C18" i="8"/>
  <c r="A18" i="10" s="1"/>
  <c r="C19" i="8"/>
  <c r="A19" i="10" s="1"/>
  <c r="C20" i="8"/>
  <c r="A21" i="10"/>
  <c r="A24" i="10"/>
  <c r="A26" i="10"/>
  <c r="A27" i="10"/>
  <c r="C28" i="8"/>
  <c r="C29" i="8"/>
  <c r="C30" i="8"/>
  <c r="C31" i="8"/>
  <c r="C32" i="8"/>
  <c r="A32" i="10" s="1"/>
  <c r="C33" i="8"/>
  <c r="A33" i="10" s="1"/>
  <c r="C34" i="8"/>
  <c r="A34" i="10" s="1"/>
  <c r="D35" i="10"/>
  <c r="D36" i="10"/>
  <c r="D37" i="10"/>
  <c r="D38" i="10"/>
  <c r="D39" i="10"/>
  <c r="E35" i="10"/>
  <c r="E36" i="10"/>
  <c r="E37" i="10"/>
  <c r="E38" i="10"/>
  <c r="E39" i="10"/>
  <c r="E40" i="10"/>
  <c r="E41" i="10"/>
  <c r="E42" i="10"/>
  <c r="E43" i="10"/>
  <c r="F35" i="10"/>
  <c r="F36" i="10"/>
  <c r="F37" i="10"/>
  <c r="G35" i="10"/>
  <c r="G36" i="10"/>
  <c r="G37" i="10"/>
  <c r="G38" i="10"/>
  <c r="H35" i="10"/>
  <c r="H36" i="10"/>
  <c r="H37" i="10"/>
  <c r="H38" i="10"/>
  <c r="H39" i="10"/>
  <c r="I35" i="10"/>
  <c r="I36" i="10"/>
  <c r="I37" i="10"/>
  <c r="I38" i="10"/>
  <c r="I39" i="10"/>
  <c r="J35" i="10"/>
  <c r="J36" i="10"/>
  <c r="J37" i="10"/>
  <c r="J38" i="10"/>
  <c r="J39" i="10"/>
  <c r="K35" i="10"/>
  <c r="K36" i="10"/>
  <c r="K37" i="10"/>
  <c r="K38" i="10"/>
  <c r="K39" i="10"/>
  <c r="L35" i="10"/>
  <c r="L36" i="10"/>
  <c r="L37" i="10"/>
  <c r="L38" i="10"/>
  <c r="L39" i="10"/>
  <c r="M35" i="10"/>
  <c r="M36" i="10"/>
  <c r="M37" i="10"/>
  <c r="M38" i="10"/>
  <c r="N35" i="10"/>
  <c r="N36" i="10"/>
  <c r="O37" i="10"/>
  <c r="C35" i="10"/>
  <c r="C36" i="10"/>
  <c r="B35" i="10"/>
  <c r="P34" i="10"/>
  <c r="P33" i="10"/>
  <c r="P32" i="10"/>
  <c r="P31" i="10"/>
  <c r="P30" i="10"/>
  <c r="P29" i="10"/>
  <c r="U37" i="8" l="1"/>
  <c r="G6" i="8" a="1"/>
  <c r="G6" i="8" s="1"/>
  <c r="A31" i="10"/>
  <c r="N31" i="8" a="1"/>
  <c r="N31" i="8" s="1"/>
  <c r="M31" i="8" a="1"/>
  <c r="M31" i="8" s="1"/>
  <c r="L31" i="8" a="1"/>
  <c r="L31" i="8" s="1"/>
  <c r="O31" i="8"/>
  <c r="I31" i="8"/>
  <c r="A20" i="10"/>
  <c r="H20" i="8"/>
  <c r="N30" i="8" a="1"/>
  <c r="N30" i="8" s="1"/>
  <c r="M30" i="8" a="1"/>
  <c r="M30" i="8" s="1"/>
  <c r="L30" i="8" a="1"/>
  <c r="L30" i="8" s="1"/>
  <c r="O30" i="8"/>
  <c r="I30" i="8"/>
  <c r="A28" i="10"/>
  <c r="M28" i="8" a="1"/>
  <c r="M28" i="8" s="1"/>
  <c r="H28" i="8"/>
  <c r="G28" i="8" a="1"/>
  <c r="G28" i="8" s="1"/>
  <c r="F28" i="8" a="1"/>
  <c r="F28" i="8" s="1"/>
  <c r="L28" i="8" a="1"/>
  <c r="L28" i="8" s="1"/>
  <c r="P28" i="8"/>
  <c r="O28" i="8"/>
  <c r="I28" i="8"/>
  <c r="N28" i="8" a="1"/>
  <c r="N28" i="8" s="1"/>
  <c r="S22" i="8"/>
  <c r="A29" i="10"/>
  <c r="M29" i="8" a="1"/>
  <c r="M29" i="8" s="1"/>
  <c r="H29" i="8"/>
  <c r="J29" i="8" s="1"/>
  <c r="G29" i="8" a="1"/>
  <c r="G29" i="8" s="1"/>
  <c r="L29" i="8" a="1"/>
  <c r="L29" i="8" s="1"/>
  <c r="P29" i="8"/>
  <c r="O29" i="8"/>
  <c r="I29" i="8"/>
  <c r="N29" i="8" a="1"/>
  <c r="N29" i="8" s="1"/>
  <c r="F3" i="8" a="1"/>
  <c r="F3" i="8" s="1"/>
  <c r="E28" i="8" a="1"/>
  <c r="E28" i="8" s="1"/>
  <c r="K28" i="8" s="1"/>
  <c r="E3" i="8" a="1"/>
  <c r="E3" i="8" s="1"/>
  <c r="D5" i="8"/>
  <c r="H5" i="8"/>
  <c r="F6" i="8" a="1"/>
  <c r="F6" i="8" s="1"/>
  <c r="A5" i="10"/>
  <c r="E6" i="8" a="1"/>
  <c r="E6" i="8" s="1"/>
  <c r="H3" i="8"/>
  <c r="F4" i="8" a="1"/>
  <c r="F4" i="8" s="1"/>
  <c r="I5" i="8"/>
  <c r="M5" i="8" a="1"/>
  <c r="M5" i="8" s="1"/>
  <c r="N5" i="8" a="1"/>
  <c r="N5" i="8" s="1"/>
  <c r="P4" i="8"/>
  <c r="I4" i="8"/>
  <c r="M4" i="8" a="1"/>
  <c r="M4" i="8" s="1"/>
  <c r="N4" i="8" a="1"/>
  <c r="N4" i="8" s="1"/>
  <c r="O5" i="8"/>
  <c r="G4" i="8" a="1"/>
  <c r="G4" i="8" s="1"/>
  <c r="E4" i="8" a="1"/>
  <c r="E4" i="8" s="1"/>
  <c r="H4" i="8"/>
  <c r="J4" i="8" s="1"/>
  <c r="A4" i="10"/>
  <c r="D4" i="8"/>
  <c r="G5" i="8" a="1"/>
  <c r="G5" i="8" s="1"/>
  <c r="K5" i="8" s="1"/>
  <c r="L6" i="8" a="1"/>
  <c r="L6" i="8" s="1"/>
  <c r="N3" i="8" a="1"/>
  <c r="N3" i="8" s="1"/>
  <c r="O3" i="8"/>
  <c r="O4" i="8"/>
  <c r="L5" i="8" a="1"/>
  <c r="L5" i="8" s="1"/>
  <c r="P3" i="8"/>
  <c r="L3" i="8" a="1"/>
  <c r="L3" i="8" s="1"/>
  <c r="M3" i="8" a="1"/>
  <c r="M3" i="8" s="1"/>
  <c r="M6" i="8" a="1"/>
  <c r="M6" i="8" s="1"/>
  <c r="N6" i="8" a="1"/>
  <c r="N6" i="8" s="1"/>
  <c r="D12" i="8"/>
  <c r="D28" i="8"/>
  <c r="E7" i="8" a="1"/>
  <c r="E7" i="8" s="1"/>
  <c r="F7" i="8" a="1"/>
  <c r="F7" i="8" s="1"/>
  <c r="E18" i="8" a="1"/>
  <c r="E18" i="8" s="1"/>
  <c r="F11" i="8" a="1"/>
  <c r="F11" i="8" s="1"/>
  <c r="D32" i="8"/>
  <c r="D31" i="8"/>
  <c r="E31" i="8" a="1"/>
  <c r="E31" i="8" s="1"/>
  <c r="E17" i="8" a="1"/>
  <c r="E17" i="8" s="1"/>
  <c r="E16" i="8" a="1"/>
  <c r="E16" i="8" s="1"/>
  <c r="E9" i="8" a="1"/>
  <c r="E9" i="8" s="1"/>
  <c r="E15" i="8" a="1"/>
  <c r="E15" i="8" s="1"/>
  <c r="F31" i="8" a="1"/>
  <c r="F31" i="8" s="1"/>
  <c r="D16" i="8"/>
  <c r="D13" i="8"/>
  <c r="E13" i="8" a="1"/>
  <c r="E13" i="8" s="1"/>
  <c r="F29" i="8" a="1"/>
  <c r="F29" i="8" s="1"/>
  <c r="E11" i="8" a="1"/>
  <c r="E11" i="8" s="1"/>
  <c r="F16" i="8" a="1"/>
  <c r="F16" i="8" s="1"/>
  <c r="A6" i="10"/>
  <c r="A22" i="10"/>
  <c r="A17" i="10"/>
  <c r="D34" i="8"/>
  <c r="H32" i="8"/>
  <c r="M32" i="8" a="1"/>
  <c r="M32" i="8" s="1"/>
  <c r="E30" i="8" a="1"/>
  <c r="E30" i="8" s="1"/>
  <c r="D33" i="8"/>
  <c r="E29" i="8" a="1"/>
  <c r="E29" i="8" s="1"/>
  <c r="K29" i="8" s="1"/>
  <c r="H31" i="8"/>
  <c r="J31" i="8" s="1"/>
  <c r="P34" i="8"/>
  <c r="G34" i="8" a="1"/>
  <c r="G34" i="8" s="1"/>
  <c r="I34" i="8"/>
  <c r="P33" i="8"/>
  <c r="A30" i="10"/>
  <c r="F34" i="8" a="1"/>
  <c r="F34" i="8" s="1"/>
  <c r="G33" i="8" a="1"/>
  <c r="G33" i="8" s="1"/>
  <c r="I33" i="8"/>
  <c r="L34" i="8" a="1"/>
  <c r="L34" i="8" s="1"/>
  <c r="P32" i="8"/>
  <c r="E34" i="8" a="1"/>
  <c r="E34" i="8" s="1"/>
  <c r="F33" i="8" a="1"/>
  <c r="F33" i="8" s="1"/>
  <c r="G32" i="8" a="1"/>
  <c r="G32" i="8" s="1"/>
  <c r="K32" i="8" s="1"/>
  <c r="I32" i="8"/>
  <c r="J32" i="8" s="1"/>
  <c r="L33" i="8" a="1"/>
  <c r="L33" i="8" s="1"/>
  <c r="P31" i="8"/>
  <c r="D30" i="8"/>
  <c r="D29" i="8"/>
  <c r="E33" i="8" a="1"/>
  <c r="E33" i="8" s="1"/>
  <c r="F32" i="8" a="1"/>
  <c r="F32" i="8" s="1"/>
  <c r="G31" i="8" a="1"/>
  <c r="G31" i="8" s="1"/>
  <c r="N34" i="8" a="1"/>
  <c r="N34" i="8" s="1"/>
  <c r="O34" i="8"/>
  <c r="Q34" i="8" s="1"/>
  <c r="H34" i="8"/>
  <c r="N33" i="8" a="1"/>
  <c r="N33" i="8" s="1"/>
  <c r="O33" i="8"/>
  <c r="Q33" i="8" s="1"/>
  <c r="H33" i="8"/>
  <c r="M33" i="8" a="1"/>
  <c r="M33" i="8" s="1"/>
  <c r="N32" i="8" a="1"/>
  <c r="N32" i="8" s="1"/>
  <c r="O32" i="8"/>
  <c r="Q32" i="8" s="1"/>
  <c r="D11" i="8"/>
  <c r="O6" i="8"/>
  <c r="Q6" i="8" s="1"/>
  <c r="H6" i="8"/>
  <c r="D6" i="8"/>
  <c r="I6" i="8"/>
  <c r="A23" i="10"/>
  <c r="H30" i="8"/>
  <c r="F30" i="8" a="1"/>
  <c r="F30" i="8" s="1"/>
  <c r="G30" i="8" a="1"/>
  <c r="G30" i="8" s="1"/>
  <c r="P30" i="8"/>
  <c r="K6" i="8"/>
  <c r="A25" i="10"/>
  <c r="F18" i="8" a="1"/>
  <c r="F18" i="8" s="1"/>
  <c r="G19" i="8" a="1"/>
  <c r="G19" i="8" s="1"/>
  <c r="H18" i="8"/>
  <c r="I19" i="8"/>
  <c r="L16" i="8" a="1"/>
  <c r="L16" i="8" s="1"/>
  <c r="M16" i="8" a="1"/>
  <c r="M16" i="8" s="1"/>
  <c r="N20" i="8" a="1"/>
  <c r="N20" i="8" s="1"/>
  <c r="O18" i="8"/>
  <c r="P21" i="8"/>
  <c r="F17" i="8" a="1"/>
  <c r="F17" i="8" s="1"/>
  <c r="G18" i="8" a="1"/>
  <c r="G18" i="8" s="1"/>
  <c r="H17" i="8"/>
  <c r="I18" i="8"/>
  <c r="L15" i="8" a="1"/>
  <c r="L15" i="8" s="1"/>
  <c r="M15" i="8" a="1"/>
  <c r="M15" i="8" s="1"/>
  <c r="N19" i="8" a="1"/>
  <c r="N19" i="8" s="1"/>
  <c r="O17" i="8"/>
  <c r="P20" i="8"/>
  <c r="G17" i="8" a="1"/>
  <c r="G17" i="8" s="1"/>
  <c r="H16" i="8"/>
  <c r="I17" i="8"/>
  <c r="N18" i="8" a="1"/>
  <c r="N18" i="8" s="1"/>
  <c r="O16" i="8"/>
  <c r="P19" i="8"/>
  <c r="D15" i="8"/>
  <c r="A15" i="10"/>
  <c r="D20" i="8"/>
  <c r="D19" i="8"/>
  <c r="E20" i="8" a="1"/>
  <c r="E20" i="8" s="1"/>
  <c r="F15" i="8" a="1"/>
  <c r="F15" i="8" s="1"/>
  <c r="G16" i="8" a="1"/>
  <c r="G16" i="8" s="1"/>
  <c r="K16" i="8" s="1"/>
  <c r="H15" i="8"/>
  <c r="I16" i="8"/>
  <c r="M21" i="8" a="1"/>
  <c r="M21" i="8" s="1"/>
  <c r="N17" i="8" a="1"/>
  <c r="N17" i="8" s="1"/>
  <c r="O15" i="8"/>
  <c r="Q15" i="8" s="1"/>
  <c r="P18" i="8"/>
  <c r="D18" i="8"/>
  <c r="D17" i="8"/>
  <c r="E19" i="8" a="1"/>
  <c r="E19" i="8" s="1"/>
  <c r="G15" i="8" a="1"/>
  <c r="G15" i="8" s="1"/>
  <c r="I15" i="8"/>
  <c r="L20" i="8" a="1"/>
  <c r="L20" i="8" s="1"/>
  <c r="M20" i="8" a="1"/>
  <c r="M20" i="8" s="1"/>
  <c r="N16" i="8" a="1"/>
  <c r="N16" i="8" s="1"/>
  <c r="P17" i="8"/>
  <c r="L19" i="8" a="1"/>
  <c r="L19" i="8" s="1"/>
  <c r="M19" i="8" a="1"/>
  <c r="M19" i="8" s="1"/>
  <c r="N15" i="8" a="1"/>
  <c r="N15" i="8" s="1"/>
  <c r="O21" i="8"/>
  <c r="P16" i="8"/>
  <c r="F20" i="8" a="1"/>
  <c r="F20" i="8" s="1"/>
  <c r="L18" i="8" a="1"/>
  <c r="L18" i="8" s="1"/>
  <c r="M18" i="8" a="1"/>
  <c r="M18" i="8" s="1"/>
  <c r="O20" i="8"/>
  <c r="F19" i="8" a="1"/>
  <c r="F19" i="8" s="1"/>
  <c r="G20" i="8" a="1"/>
  <c r="G20" i="8" s="1"/>
  <c r="H19" i="8"/>
  <c r="I20" i="8"/>
  <c r="L17" i="8" a="1"/>
  <c r="L17" i="8" s="1"/>
  <c r="N21" i="8" a="1"/>
  <c r="N21" i="8" s="1"/>
  <c r="R21" i="8" s="1"/>
  <c r="U21" i="8" s="1"/>
  <c r="O19" i="8"/>
  <c r="Q30" i="8"/>
  <c r="G10" i="8" a="1"/>
  <c r="G10" i="8" s="1"/>
  <c r="H9" i="8"/>
  <c r="I9" i="8"/>
  <c r="L14" i="8" a="1"/>
  <c r="L14" i="8" s="1"/>
  <c r="M14" i="8" a="1"/>
  <c r="M14" i="8" s="1"/>
  <c r="N11" i="8" a="1"/>
  <c r="N11" i="8" s="1"/>
  <c r="O8" i="8"/>
  <c r="P10" i="8"/>
  <c r="F10" i="8" a="1"/>
  <c r="F10" i="8" s="1"/>
  <c r="G9" i="8" a="1"/>
  <c r="G9" i="8" s="1"/>
  <c r="H8" i="8"/>
  <c r="I8" i="8"/>
  <c r="L13" i="8" a="1"/>
  <c r="L13" i="8" s="1"/>
  <c r="M13" i="8" a="1"/>
  <c r="M13" i="8" s="1"/>
  <c r="N10" i="8" a="1"/>
  <c r="N10" i="8" s="1"/>
  <c r="P8" i="8"/>
  <c r="E10" i="8" a="1"/>
  <c r="E10" i="8" s="1"/>
  <c r="F9" i="8" a="1"/>
  <c r="F9" i="8" s="1"/>
  <c r="G8" i="8" a="1"/>
  <c r="G8" i="8" s="1"/>
  <c r="L12" i="8" a="1"/>
  <c r="L12" i="8" s="1"/>
  <c r="M12" i="8" a="1"/>
  <c r="M12" i="8" s="1"/>
  <c r="N9" i="8" a="1"/>
  <c r="N9" i="8" s="1"/>
  <c r="E8" i="8" a="1"/>
  <c r="E8" i="8" s="1"/>
  <c r="F8" i="8" a="1"/>
  <c r="F8" i="8" s="1"/>
  <c r="G7" i="8" a="1"/>
  <c r="G7" i="8" s="1"/>
  <c r="H14" i="8"/>
  <c r="I14" i="8"/>
  <c r="L11" i="8" a="1"/>
  <c r="L11" i="8" s="1"/>
  <c r="M11" i="8" a="1"/>
  <c r="M11" i="8" s="1"/>
  <c r="N8" i="8" a="1"/>
  <c r="N8" i="8" s="1"/>
  <c r="O14" i="8"/>
  <c r="G14" i="8" a="1"/>
  <c r="G14" i="8" s="1"/>
  <c r="H13" i="8"/>
  <c r="I13" i="8"/>
  <c r="L10" i="8" a="1"/>
  <c r="L10" i="8" s="1"/>
  <c r="M10" i="8" a="1"/>
  <c r="M10" i="8" s="1"/>
  <c r="N14" i="8" a="1"/>
  <c r="N14" i="8" s="1"/>
  <c r="N7" i="8" a="1"/>
  <c r="N7" i="8" s="1"/>
  <c r="O13" i="8"/>
  <c r="P14" i="8"/>
  <c r="D10" i="8"/>
  <c r="D8" i="8"/>
  <c r="E14" i="8" a="1"/>
  <c r="E14" i="8" s="1"/>
  <c r="F14" i="8" a="1"/>
  <c r="F14" i="8" s="1"/>
  <c r="G13" i="8" a="1"/>
  <c r="G13" i="8" s="1"/>
  <c r="K13" i="8" s="1"/>
  <c r="H12" i="8"/>
  <c r="I12" i="8"/>
  <c r="L9" i="8" a="1"/>
  <c r="L9" i="8" s="1"/>
  <c r="M9" i="8" a="1"/>
  <c r="M9" i="8" s="1"/>
  <c r="N13" i="8" a="1"/>
  <c r="N13" i="8" s="1"/>
  <c r="O12" i="8"/>
  <c r="P13" i="8"/>
  <c r="D7" i="8"/>
  <c r="A14" i="10"/>
  <c r="F13" i="8" a="1"/>
  <c r="F13" i="8" s="1"/>
  <c r="G12" i="8" a="1"/>
  <c r="G12" i="8" s="1"/>
  <c r="H11" i="8"/>
  <c r="I11" i="8"/>
  <c r="L8" i="8" a="1"/>
  <c r="L8" i="8" s="1"/>
  <c r="M8" i="8" a="1"/>
  <c r="M8" i="8" s="1"/>
  <c r="N12" i="8" a="1"/>
  <c r="N12" i="8" s="1"/>
  <c r="O11" i="8"/>
  <c r="P12" i="8"/>
  <c r="A7" i="10"/>
  <c r="E12" i="8" a="1"/>
  <c r="E12" i="8" s="1"/>
  <c r="F12" i="8" a="1"/>
  <c r="F12" i="8" s="1"/>
  <c r="G11" i="8" a="1"/>
  <c r="G11" i="8" s="1"/>
  <c r="K11" i="8" s="1"/>
  <c r="H10" i="8"/>
  <c r="I10" i="8"/>
  <c r="L7" i="8" a="1"/>
  <c r="L7" i="8" s="1"/>
  <c r="M7" i="8" a="1"/>
  <c r="M7" i="8" s="1"/>
  <c r="O10" i="8"/>
  <c r="P11" i="8"/>
  <c r="R4" i="8"/>
  <c r="O9" i="8"/>
  <c r="P9" i="8"/>
  <c r="D9" i="8"/>
  <c r="K3" i="8"/>
  <c r="O7" i="8"/>
  <c r="H7" i="8"/>
  <c r="J7" i="8" s="1"/>
  <c r="P7" i="8"/>
  <c r="Q5" i="8"/>
  <c r="Q4" i="8"/>
  <c r="T5" i="8"/>
  <c r="K4" i="8"/>
  <c r="J5" i="8"/>
  <c r="I3" i="8"/>
  <c r="J3" i="8" s="1"/>
  <c r="R28" i="8" l="1"/>
  <c r="U28" i="8" s="1"/>
  <c r="K18" i="8"/>
  <c r="T30" i="8"/>
  <c r="J30" i="8"/>
  <c r="S30" i="8" s="1"/>
  <c r="J28" i="8"/>
  <c r="S28" i="8" s="1"/>
  <c r="T28" i="8"/>
  <c r="K30" i="8"/>
  <c r="K15" i="8"/>
  <c r="K31" i="8"/>
  <c r="T3" i="8"/>
  <c r="R29" i="8"/>
  <c r="U29" i="8" s="1"/>
  <c r="Q28" i="8"/>
  <c r="R6" i="8"/>
  <c r="U6" i="8" s="1"/>
  <c r="R5" i="8"/>
  <c r="Q3" i="8"/>
  <c r="S3" i="8" s="1"/>
  <c r="R3" i="8"/>
  <c r="T4" i="8"/>
  <c r="K7" i="8"/>
  <c r="K34" i="8"/>
  <c r="R31" i="8"/>
  <c r="T31" i="8"/>
  <c r="R20" i="8"/>
  <c r="K17" i="8"/>
  <c r="K33" i="8"/>
  <c r="Q20" i="8"/>
  <c r="R19" i="8"/>
  <c r="R18" i="8"/>
  <c r="U18" i="8" s="1"/>
  <c r="K9" i="8"/>
  <c r="Q10" i="8"/>
  <c r="R33" i="8"/>
  <c r="T34" i="8"/>
  <c r="T33" i="8"/>
  <c r="J6" i="8"/>
  <c r="S6" i="8" s="1"/>
  <c r="T29" i="8"/>
  <c r="Q21" i="8"/>
  <c r="R32" i="8"/>
  <c r="T32" i="8"/>
  <c r="S32" i="8"/>
  <c r="Q31" i="8"/>
  <c r="S31" i="8" s="1"/>
  <c r="J34" i="8"/>
  <c r="S34" i="8" s="1"/>
  <c r="R34" i="8"/>
  <c r="Q29" i="8"/>
  <c r="S29" i="8" s="1"/>
  <c r="J33" i="8"/>
  <c r="S33" i="8" s="1"/>
  <c r="K10" i="8"/>
  <c r="J10" i="8"/>
  <c r="T6" i="8"/>
  <c r="J9" i="8"/>
  <c r="K12" i="8"/>
  <c r="T10" i="8"/>
  <c r="K14" i="8"/>
  <c r="J8" i="8"/>
  <c r="Q11" i="8"/>
  <c r="R9" i="8"/>
  <c r="R30" i="8"/>
  <c r="K8" i="8"/>
  <c r="Q19" i="8"/>
  <c r="R11" i="8"/>
  <c r="U11" i="8" s="1"/>
  <c r="K19" i="8"/>
  <c r="U19" i="8" s="1"/>
  <c r="R17" i="8"/>
  <c r="K20" i="8"/>
  <c r="Q16" i="8"/>
  <c r="Q17" i="8"/>
  <c r="Q18" i="8"/>
  <c r="R15" i="8"/>
  <c r="U15" i="8" s="1"/>
  <c r="R16" i="8"/>
  <c r="U16" i="8" s="1"/>
  <c r="Q12" i="8"/>
  <c r="R10" i="8"/>
  <c r="T8" i="8"/>
  <c r="J19" i="8"/>
  <c r="T19" i="8"/>
  <c r="J20" i="8"/>
  <c r="T20" i="8"/>
  <c r="T21" i="8"/>
  <c r="T15" i="8"/>
  <c r="J15" i="8"/>
  <c r="S15" i="8" s="1"/>
  <c r="T16" i="8"/>
  <c r="J16" i="8"/>
  <c r="T17" i="8"/>
  <c r="J17" i="8"/>
  <c r="J18" i="8"/>
  <c r="T18" i="8"/>
  <c r="R7" i="8"/>
  <c r="R8" i="8"/>
  <c r="U5" i="8"/>
  <c r="U4" i="8"/>
  <c r="Q8" i="8"/>
  <c r="R13" i="8"/>
  <c r="U13" i="8" s="1"/>
  <c r="R12" i="8"/>
  <c r="R14" i="8"/>
  <c r="Q13" i="8"/>
  <c r="Q14" i="8"/>
  <c r="J11" i="8"/>
  <c r="T11" i="8"/>
  <c r="J12" i="8"/>
  <c r="T12" i="8"/>
  <c r="J13" i="8"/>
  <c r="T13" i="8"/>
  <c r="T14" i="8"/>
  <c r="J14" i="8"/>
  <c r="S14" i="8" s="1"/>
  <c r="Q9" i="8"/>
  <c r="T9" i="8"/>
  <c r="W36" i="8" a="1"/>
  <c r="W36" i="8" s="1"/>
  <c r="X35" i="8" a="1"/>
  <c r="X35" i="8" s="1"/>
  <c r="V35" i="8"/>
  <c r="V40" i="8"/>
  <c r="X36" i="8" a="1"/>
  <c r="X36" i="8" s="1"/>
  <c r="V36" i="8"/>
  <c r="X38" i="8" a="1"/>
  <c r="X38" i="8" s="1"/>
  <c r="V38" i="8"/>
  <c r="X39" i="8" a="1"/>
  <c r="X39" i="8" s="1"/>
  <c r="V39" i="8"/>
  <c r="Q7" i="8"/>
  <c r="S7" i="8" s="1"/>
  <c r="U3" i="8"/>
  <c r="T7" i="8"/>
  <c r="S5" i="8"/>
  <c r="S4" i="8"/>
  <c r="U31" i="8" l="1"/>
  <c r="U10" i="8"/>
  <c r="U30" i="8"/>
  <c r="U7" i="8"/>
  <c r="V29" i="8" s="1"/>
  <c r="U12" i="8"/>
  <c r="U34" i="8"/>
  <c r="U20" i="8"/>
  <c r="S20" i="8"/>
  <c r="U17" i="8"/>
  <c r="U9" i="8"/>
  <c r="U33" i="8"/>
  <c r="S10" i="8"/>
  <c r="S21" i="8"/>
  <c r="S19" i="8"/>
  <c r="S11" i="8"/>
  <c r="S9" i="8"/>
  <c r="S12" i="8"/>
  <c r="S8" i="8"/>
  <c r="U8" i="8"/>
  <c r="V31" i="8" s="1"/>
  <c r="U14" i="8"/>
  <c r="S17" i="8"/>
  <c r="S13" i="8"/>
  <c r="S18" i="8"/>
  <c r="S16" i="8"/>
  <c r="W35" i="8" a="1"/>
  <c r="W35" i="8" s="1"/>
  <c r="V22" i="8" l="1"/>
  <c r="W29" i="8" a="1"/>
  <c r="W29" i="8" s="1"/>
  <c r="V12" i="8"/>
  <c r="W26" i="8" a="1"/>
  <c r="W26" i="8" s="1"/>
  <c r="V25" i="8"/>
  <c r="V26" i="8"/>
  <c r="W25" i="8" a="1"/>
  <c r="W25" i="8" s="1"/>
  <c r="V28" i="8"/>
  <c r="X37" i="8" a="1"/>
  <c r="X37" i="8" s="1"/>
  <c r="X24" i="8" a="1"/>
  <c r="X24" i="8" s="1"/>
  <c r="W28" i="8" a="1"/>
  <c r="W28" i="8" s="1"/>
  <c r="X25" i="8" a="1"/>
  <c r="X25" i="8" s="1"/>
  <c r="V24" i="8"/>
  <c r="W24" i="8" a="1"/>
  <c r="W24" i="8" s="1"/>
  <c r="V37" i="8"/>
  <c r="X27" i="8" a="1"/>
  <c r="X27" i="8" s="1"/>
  <c r="W27" i="8" a="1"/>
  <c r="W27" i="8" s="1"/>
  <c r="X26" i="8" a="1"/>
  <c r="X26" i="8" s="1"/>
  <c r="V27" i="8"/>
  <c r="X23" i="8" a="1"/>
  <c r="X23" i="8" s="1"/>
  <c r="W37" i="8" a="1"/>
  <c r="W37" i="8" s="1"/>
  <c r="V23" i="8"/>
  <c r="W23" i="8" a="1"/>
  <c r="W23" i="8" s="1"/>
  <c r="X30" i="8" a="1"/>
  <c r="X30" i="8" s="1"/>
  <c r="X15" i="8" a="1"/>
  <c r="X15" i="8" s="1"/>
  <c r="X3" i="8" a="1"/>
  <c r="X3" i="8" s="1"/>
  <c r="V5" i="8"/>
  <c r="W34" i="8" a="1"/>
  <c r="W34" i="8" s="1"/>
  <c r="V3" i="8"/>
  <c r="V20" i="8"/>
  <c r="V11" i="8"/>
  <c r="V17" i="8"/>
  <c r="X31" i="8" a="1"/>
  <c r="X31" i="8" s="1"/>
  <c r="V8" i="8"/>
  <c r="V21" i="8"/>
  <c r="V15" i="8"/>
  <c r="X33" i="8" a="1"/>
  <c r="X33" i="8" s="1"/>
  <c r="X28" i="8" a="1"/>
  <c r="X28" i="8" s="1"/>
  <c r="W32" i="8" a="1"/>
  <c r="W32" i="8" s="1"/>
  <c r="V7" i="8"/>
  <c r="V19" i="8"/>
  <c r="V32" i="8"/>
  <c r="W14" i="8" a="1"/>
  <c r="W14" i="8" s="1"/>
  <c r="V14" i="8"/>
  <c r="W7" i="8" a="1"/>
  <c r="W7" i="8" s="1"/>
  <c r="W30" i="8" a="1"/>
  <c r="W30" i="8" s="1"/>
  <c r="V10" i="8"/>
  <c r="V16" i="8"/>
  <c r="W33" i="8" a="1"/>
  <c r="W33" i="8" s="1"/>
  <c r="W31" i="8" a="1"/>
  <c r="W31" i="8" s="1"/>
  <c r="V30" i="8"/>
  <c r="V13" i="8"/>
  <c r="V18" i="8"/>
  <c r="X32" i="8" a="1"/>
  <c r="X32" i="8" s="1"/>
  <c r="X34" i="8" a="1"/>
  <c r="X34" i="8" s="1"/>
  <c r="X29" i="8" a="1"/>
  <c r="X29" i="8" s="1"/>
  <c r="V4" i="8"/>
  <c r="V6" i="8"/>
  <c r="V9" i="8"/>
  <c r="V33" i="8"/>
  <c r="V34" i="8"/>
  <c r="W17" i="8" a="1"/>
  <c r="W17" i="8" s="1"/>
  <c r="W8" i="8" a="1"/>
  <c r="W8" i="8" s="1"/>
  <c r="X20" i="8" a="1"/>
  <c r="X20" i="8" s="1"/>
  <c r="X17" i="8" a="1"/>
  <c r="X17" i="8" s="1"/>
  <c r="X6" i="8" a="1"/>
  <c r="X6" i="8" s="1"/>
  <c r="W15" i="8" a="1"/>
  <c r="W15" i="8" s="1"/>
  <c r="X7" i="8" a="1"/>
  <c r="X7" i="8" s="1"/>
  <c r="X4" i="8" a="1"/>
  <c r="X4" i="8" s="1"/>
  <c r="W6" i="8" a="1"/>
  <c r="W6" i="8" s="1"/>
  <c r="W12" i="8" a="1"/>
  <c r="W12" i="8" s="1"/>
  <c r="X18" i="8" a="1"/>
  <c r="X18" i="8" s="1"/>
  <c r="X10" i="8" a="1"/>
  <c r="X10" i="8" s="1"/>
  <c r="X16" i="8" a="1"/>
  <c r="X16" i="8" s="1"/>
  <c r="X12" i="8" a="1"/>
  <c r="X12" i="8" s="1"/>
  <c r="W13" i="8" a="1"/>
  <c r="W13" i="8" s="1"/>
  <c r="X5" i="8" a="1"/>
  <c r="X5" i="8" s="1"/>
  <c r="X13" i="8" a="1"/>
  <c r="X13" i="8" s="1"/>
  <c r="W10" i="8" a="1"/>
  <c r="W10" i="8" s="1"/>
  <c r="W9" i="8" a="1"/>
  <c r="W9" i="8" s="1"/>
  <c r="W5" i="8" a="1"/>
  <c r="W5" i="8" s="1"/>
  <c r="X8" i="8" a="1"/>
  <c r="X8" i="8" s="1"/>
  <c r="X11" i="8" a="1"/>
  <c r="X11" i="8" s="1"/>
  <c r="W4" i="8" a="1"/>
  <c r="W4" i="8" s="1"/>
  <c r="X14" i="8" a="1"/>
  <c r="X14" i="8" s="1"/>
  <c r="W19" i="8" a="1"/>
  <c r="W19" i="8" s="1"/>
  <c r="W3" i="8" a="1"/>
  <c r="W3" i="8" s="1"/>
  <c r="W20" i="8" a="1"/>
  <c r="W20" i="8" s="1"/>
  <c r="W11" i="8" a="1"/>
  <c r="W11" i="8" s="1"/>
  <c r="W16" i="8" a="1"/>
  <c r="W16" i="8" s="1"/>
  <c r="W22" i="8" a="1"/>
  <c r="W22" i="8" s="1"/>
  <c r="X21" i="8" a="1"/>
  <c r="X21" i="8" s="1"/>
  <c r="W18" i="8" a="1"/>
  <c r="W18" i="8" s="1"/>
  <c r="X9" i="8" a="1"/>
  <c r="X9" i="8" s="1"/>
  <c r="W21" i="8" a="1"/>
  <c r="W21" i="8" s="1"/>
  <c r="X22" i="8" a="1"/>
  <c r="X22" i="8" s="1"/>
  <c r="X19" i="8" a="1"/>
  <c r="X19" i="8" s="1"/>
  <c r="B26" i="8" l="1"/>
  <c r="B23" i="8"/>
  <c r="B24" i="8"/>
  <c r="B25" i="8"/>
  <c r="B21" i="8"/>
  <c r="B27" i="8"/>
  <c r="B31" i="8"/>
  <c r="B22" i="8"/>
  <c r="A22" i="8" s="1"/>
  <c r="B30" i="8"/>
  <c r="B14" i="8"/>
  <c r="B34" i="8"/>
  <c r="B33" i="8"/>
  <c r="B28" i="8"/>
  <c r="B10" i="8"/>
  <c r="B3" i="8"/>
  <c r="B8" i="8"/>
  <c r="B12" i="8"/>
  <c r="B20" i="8"/>
  <c r="B17" i="8"/>
  <c r="B15" i="8"/>
  <c r="B6" i="8"/>
  <c r="B7" i="8"/>
  <c r="B16" i="8"/>
  <c r="B29" i="8"/>
  <c r="B18" i="8"/>
  <c r="B19" i="8"/>
  <c r="B5" i="8"/>
  <c r="B32" i="8"/>
  <c r="B9" i="8"/>
  <c r="B4" i="8"/>
  <c r="B13" i="8"/>
  <c r="B11" i="8"/>
  <c r="A27" i="8" l="1"/>
  <c r="A21" i="8"/>
  <c r="A24" i="8"/>
  <c r="A23" i="8"/>
  <c r="A25" i="8"/>
  <c r="A26" i="8"/>
  <c r="A33" i="8"/>
  <c r="A30" i="8"/>
  <c r="A32" i="8"/>
  <c r="A29" i="8"/>
  <c r="A31" i="8"/>
  <c r="A14" i="8"/>
  <c r="A18" i="8"/>
  <c r="A8" i="8"/>
  <c r="A4" i="8"/>
  <c r="A3" i="8"/>
  <c r="A12" i="8"/>
  <c r="A19" i="8"/>
  <c r="A6" i="8"/>
  <c r="A17" i="8"/>
  <c r="A15" i="8"/>
  <c r="A20" i="8"/>
  <c r="A28" i="8"/>
  <c r="A34" i="8"/>
  <c r="A11" i="8"/>
  <c r="A7" i="8"/>
  <c r="A16" i="8"/>
  <c r="A5" i="8"/>
  <c r="A10" i="8"/>
  <c r="A9" i="8"/>
  <c r="A13" i="8"/>
  <c r="B31" i="10" l="1"/>
  <c r="O31" i="10" s="1"/>
  <c r="B11" i="10"/>
  <c r="M11" i="10" s="1"/>
  <c r="B12" i="10"/>
  <c r="O12" i="10" s="1"/>
  <c r="B34" i="10"/>
  <c r="B9" i="10"/>
  <c r="K9" i="10" s="1"/>
  <c r="B26" i="10"/>
  <c r="E26" i="10" s="1"/>
  <c r="B29" i="10"/>
  <c r="F29" i="10" s="1"/>
  <c r="B32" i="10"/>
  <c r="G32" i="10" s="1"/>
  <c r="B18" i="10"/>
  <c r="H18" i="10" s="1"/>
  <c r="B21" i="10"/>
  <c r="H21" i="10" s="1"/>
  <c r="B24" i="10"/>
  <c r="M24" i="10" s="1"/>
  <c r="B10" i="10"/>
  <c r="M10" i="10" s="1"/>
  <c r="B13" i="10"/>
  <c r="E13" i="10" s="1"/>
  <c r="B16" i="10"/>
  <c r="O16" i="10" s="1"/>
  <c r="B33" i="10"/>
  <c r="O33" i="10" s="1"/>
  <c r="B8" i="10"/>
  <c r="E8" i="10" s="1"/>
  <c r="B27" i="10"/>
  <c r="H27" i="10" s="1"/>
  <c r="B28" i="10"/>
  <c r="B19" i="10"/>
  <c r="C19" i="10" s="1"/>
  <c r="B20" i="10"/>
  <c r="O20" i="10" s="1"/>
  <c r="B30" i="10"/>
  <c r="G30" i="10" s="1"/>
  <c r="B17" i="10"/>
  <c r="L17" i="10" s="1"/>
  <c r="B14" i="10"/>
  <c r="G14" i="10" s="1"/>
  <c r="B25" i="10"/>
  <c r="L25" i="10" s="1"/>
  <c r="B23" i="10"/>
  <c r="I23" i="10" s="1"/>
  <c r="B22" i="10"/>
  <c r="G22" i="10" s="1"/>
  <c r="B15" i="10"/>
  <c r="F15" i="10" s="1"/>
  <c r="B7" i="10"/>
  <c r="F7" i="10" s="1"/>
  <c r="B6" i="10"/>
  <c r="L6" i="10" s="1"/>
  <c r="B3" i="10"/>
  <c r="B5" i="10"/>
  <c r="K5" i="10" s="1"/>
  <c r="B4" i="10"/>
  <c r="F4" i="10" s="1"/>
  <c r="O28" i="10"/>
  <c r="N34" i="10"/>
  <c r="M34" i="10"/>
  <c r="G34" i="10"/>
  <c r="E34" i="10"/>
  <c r="L34" i="10"/>
  <c r="O34" i="10"/>
  <c r="J34" i="10"/>
  <c r="F34" i="10"/>
  <c r="H34" i="10"/>
  <c r="C34" i="10"/>
  <c r="D34" i="10"/>
  <c r="K34" i="10"/>
  <c r="I34" i="10"/>
  <c r="D27" i="10"/>
  <c r="I33" i="10"/>
  <c r="C30" i="10" l="1"/>
  <c r="K3" i="10"/>
  <c r="D3" i="10"/>
  <c r="C29" i="10"/>
  <c r="D33" i="10"/>
  <c r="G27" i="10"/>
  <c r="F27" i="10"/>
  <c r="E29" i="10"/>
  <c r="E27" i="10"/>
  <c r="N27" i="10"/>
  <c r="M31" i="10"/>
  <c r="D31" i="10"/>
  <c r="G31" i="10"/>
  <c r="M27" i="10"/>
  <c r="E31" i="10"/>
  <c r="J27" i="10"/>
  <c r="I27" i="10"/>
  <c r="K27" i="10"/>
  <c r="O27" i="10"/>
  <c r="L27" i="10"/>
  <c r="C27" i="10"/>
  <c r="M14" i="10"/>
  <c r="I15" i="10"/>
  <c r="G11" i="10"/>
  <c r="D14" i="10"/>
  <c r="I14" i="10"/>
  <c r="C12" i="10"/>
  <c r="D12" i="10"/>
  <c r="E33" i="10"/>
  <c r="O25" i="10"/>
  <c r="C32" i="10"/>
  <c r="C33" i="10"/>
  <c r="J29" i="10"/>
  <c r="L32" i="10"/>
  <c r="F33" i="10"/>
  <c r="N29" i="10"/>
  <c r="H29" i="10"/>
  <c r="D29" i="10"/>
  <c r="H14" i="10"/>
  <c r="G33" i="10"/>
  <c r="G29" i="10"/>
  <c r="M33" i="10"/>
  <c r="L33" i="10"/>
  <c r="J33" i="10"/>
  <c r="I29" i="10"/>
  <c r="M32" i="10"/>
  <c r="K29" i="10"/>
  <c r="N33" i="10"/>
  <c r="H33" i="10"/>
  <c r="L29" i="10"/>
  <c r="O29" i="10"/>
  <c r="K32" i="10"/>
  <c r="K33" i="10"/>
  <c r="M29" i="10"/>
  <c r="J26" i="10"/>
  <c r="H4" i="10"/>
  <c r="M4" i="10"/>
  <c r="F3" i="10"/>
  <c r="G3" i="10"/>
  <c r="H6" i="10"/>
  <c r="M6" i="10"/>
  <c r="G6" i="10"/>
  <c r="I3" i="10"/>
  <c r="M3" i="10"/>
  <c r="D4" i="10"/>
  <c r="E4" i="10"/>
  <c r="N4" i="10"/>
  <c r="O4" i="10"/>
  <c r="G4" i="10"/>
  <c r="K4" i="10"/>
  <c r="C4" i="10"/>
  <c r="J4" i="10"/>
  <c r="L4" i="10"/>
  <c r="I4" i="10"/>
  <c r="E3" i="10"/>
  <c r="C3" i="10"/>
  <c r="H32" i="10"/>
  <c r="D32" i="10"/>
  <c r="F30" i="10"/>
  <c r="O30" i="10"/>
  <c r="L31" i="10"/>
  <c r="H28" i="10"/>
  <c r="C24" i="10"/>
  <c r="I28" i="10"/>
  <c r="E30" i="10"/>
  <c r="K30" i="10"/>
  <c r="K31" i="10"/>
  <c r="N28" i="10"/>
  <c r="K28" i="10"/>
  <c r="M30" i="10"/>
  <c r="F28" i="10"/>
  <c r="I30" i="10"/>
  <c r="C31" i="10"/>
  <c r="G28" i="10"/>
  <c r="J10" i="10"/>
  <c r="N30" i="10"/>
  <c r="D30" i="10"/>
  <c r="N31" i="10"/>
  <c r="H31" i="10"/>
  <c r="O23" i="10"/>
  <c r="C28" i="10"/>
  <c r="D28" i="10"/>
  <c r="H30" i="10"/>
  <c r="J30" i="10"/>
  <c r="L30" i="10"/>
  <c r="I31" i="10"/>
  <c r="F31" i="10"/>
  <c r="G23" i="10"/>
  <c r="L28" i="10"/>
  <c r="J28" i="10"/>
  <c r="M28" i="10"/>
  <c r="J31" i="10"/>
  <c r="E28" i="10"/>
  <c r="J18" i="10"/>
  <c r="J3" i="10"/>
  <c r="N3" i="10"/>
  <c r="O3" i="10"/>
  <c r="C25" i="10"/>
  <c r="D22" i="10"/>
  <c r="M25" i="10"/>
  <c r="D13" i="10"/>
  <c r="L3" i="10"/>
  <c r="H3" i="10"/>
  <c r="K25" i="10"/>
  <c r="G25" i="10"/>
  <c r="H13" i="10"/>
  <c r="K11" i="10"/>
  <c r="N25" i="10"/>
  <c r="C17" i="10"/>
  <c r="E18" i="10"/>
  <c r="O17" i="10"/>
  <c r="I16" i="10"/>
  <c r="M13" i="10"/>
  <c r="D5" i="10"/>
  <c r="F13" i="10"/>
  <c r="C13" i="10"/>
  <c r="M18" i="10"/>
  <c r="L18" i="10"/>
  <c r="K17" i="10"/>
  <c r="L16" i="10"/>
  <c r="H16" i="10"/>
  <c r="K13" i="10"/>
  <c r="M17" i="10"/>
  <c r="F17" i="10"/>
  <c r="N22" i="10"/>
  <c r="F16" i="10"/>
  <c r="I17" i="10"/>
  <c r="H22" i="10"/>
  <c r="E16" i="10"/>
  <c r="G5" i="10"/>
  <c r="J13" i="10"/>
  <c r="I5" i="10"/>
  <c r="C5" i="10"/>
  <c r="E22" i="10"/>
  <c r="D16" i="10"/>
  <c r="N5" i="10"/>
  <c r="I13" i="10"/>
  <c r="F22" i="10"/>
  <c r="N13" i="10"/>
  <c r="J5" i="10"/>
  <c r="L22" i="10"/>
  <c r="I22" i="10"/>
  <c r="M16" i="10"/>
  <c r="D24" i="10"/>
  <c r="C23" i="10"/>
  <c r="O24" i="10"/>
  <c r="C26" i="10"/>
  <c r="M21" i="10"/>
  <c r="N7" i="10"/>
  <c r="O7" i="10"/>
  <c r="N24" i="10"/>
  <c r="I26" i="10"/>
  <c r="G21" i="10"/>
  <c r="I7" i="10"/>
  <c r="J24" i="10"/>
  <c r="M26" i="10"/>
  <c r="D21" i="10"/>
  <c r="N8" i="10"/>
  <c r="C7" i="10"/>
  <c r="D8" i="10"/>
  <c r="H23" i="10"/>
  <c r="J15" i="10"/>
  <c r="G8" i="10"/>
  <c r="F8" i="10"/>
  <c r="H24" i="10"/>
  <c r="F26" i="10"/>
  <c r="D26" i="10"/>
  <c r="N23" i="10"/>
  <c r="D25" i="10"/>
  <c r="C20" i="10"/>
  <c r="M8" i="10"/>
  <c r="H26" i="10"/>
  <c r="K12" i="10"/>
  <c r="K21" i="10"/>
  <c r="C8" i="10"/>
  <c r="K8" i="10"/>
  <c r="N21" i="10"/>
  <c r="J7" i="10"/>
  <c r="O8" i="10"/>
  <c r="G24" i="10"/>
  <c r="E24" i="10"/>
  <c r="K26" i="10"/>
  <c r="E25" i="10"/>
  <c r="J25" i="10"/>
  <c r="L20" i="10"/>
  <c r="H20" i="10"/>
  <c r="E21" i="10"/>
  <c r="L24" i="10"/>
  <c r="G26" i="10"/>
  <c r="K20" i="10"/>
  <c r="C21" i="10"/>
  <c r="J8" i="10"/>
  <c r="H8" i="10"/>
  <c r="L8" i="10"/>
  <c r="I21" i="10"/>
  <c r="M15" i="10"/>
  <c r="E7" i="10"/>
  <c r="I8" i="10"/>
  <c r="K24" i="10"/>
  <c r="I24" i="10"/>
  <c r="O26" i="10"/>
  <c r="J23" i="10"/>
  <c r="F25" i="10"/>
  <c r="I25" i="10"/>
  <c r="J20" i="10"/>
  <c r="G19" i="10"/>
  <c r="F21" i="10"/>
  <c r="N20" i="10"/>
  <c r="J21" i="10"/>
  <c r="L21" i="10"/>
  <c r="M7" i="10"/>
  <c r="F24" i="10"/>
  <c r="O21" i="10"/>
  <c r="L26" i="10"/>
  <c r="K23" i="10"/>
  <c r="H25" i="10"/>
  <c r="N26" i="10"/>
  <c r="D20" i="10"/>
  <c r="I20" i="10"/>
  <c r="G9" i="10"/>
  <c r="I9" i="10"/>
  <c r="I10" i="10"/>
  <c r="H9" i="10"/>
  <c r="E9" i="10"/>
  <c r="C9" i="10"/>
  <c r="D9" i="10"/>
  <c r="N10" i="10"/>
  <c r="N9" i="10"/>
  <c r="F9" i="10"/>
  <c r="F10" i="10"/>
  <c r="M9" i="10"/>
  <c r="H10" i="10"/>
  <c r="J9" i="10"/>
  <c r="D10" i="10"/>
  <c r="L9" i="10"/>
  <c r="E10" i="10"/>
  <c r="O9" i="10"/>
  <c r="O10" i="10"/>
  <c r="G10" i="10"/>
  <c r="C10" i="10"/>
  <c r="K10" i="10"/>
  <c r="L10" i="10"/>
  <c r="E14" i="10"/>
  <c r="O6" i="10"/>
  <c r="L14" i="10"/>
  <c r="N12" i="10"/>
  <c r="J14" i="10"/>
  <c r="M22" i="10"/>
  <c r="K18" i="10"/>
  <c r="K14" i="10"/>
  <c r="E6" i="10"/>
  <c r="D6" i="10"/>
  <c r="G13" i="10"/>
  <c r="C6" i="10"/>
  <c r="O13" i="10"/>
  <c r="G20" i="10"/>
  <c r="E20" i="10"/>
  <c r="C14" i="10"/>
  <c r="L15" i="10"/>
  <c r="N15" i="10"/>
  <c r="M12" i="10"/>
  <c r="K22" i="10"/>
  <c r="H12" i="10"/>
  <c r="I18" i="10"/>
  <c r="F18" i="10"/>
  <c r="J22" i="10"/>
  <c r="C22" i="10"/>
  <c r="F14" i="10"/>
  <c r="L13" i="10"/>
  <c r="O18" i="10"/>
  <c r="M20" i="10"/>
  <c r="D18" i="10"/>
  <c r="C18" i="10"/>
  <c r="F6" i="10"/>
  <c r="J6" i="10"/>
  <c r="N18" i="10"/>
  <c r="O22" i="10"/>
  <c r="D19" i="10"/>
  <c r="G18" i="10"/>
  <c r="I6" i="10"/>
  <c r="O14" i="10"/>
  <c r="N6" i="10"/>
  <c r="K6" i="10"/>
  <c r="N14" i="10"/>
  <c r="D11" i="10"/>
  <c r="F20" i="10"/>
  <c r="O15" i="10"/>
  <c r="I19" i="10"/>
  <c r="F12" i="10"/>
  <c r="J11" i="10"/>
  <c r="H15" i="10"/>
  <c r="G15" i="10"/>
  <c r="D15" i="10"/>
  <c r="L5" i="10"/>
  <c r="F5" i="10"/>
  <c r="L7" i="10"/>
  <c r="O5" i="10"/>
  <c r="H19" i="10"/>
  <c r="C11" i="10"/>
  <c r="F19" i="10"/>
  <c r="D23" i="10"/>
  <c r="M23" i="10"/>
  <c r="G16" i="10"/>
  <c r="N19" i="10"/>
  <c r="O11" i="10"/>
  <c r="M19" i="10"/>
  <c r="N11" i="10"/>
  <c r="H17" i="10"/>
  <c r="L12" i="10"/>
  <c r="H5" i="10"/>
  <c r="G17" i="10"/>
  <c r="D7" i="10"/>
  <c r="G7" i="10"/>
  <c r="J19" i="10"/>
  <c r="L23" i="10"/>
  <c r="H11" i="10"/>
  <c r="L11" i="10"/>
  <c r="C16" i="10"/>
  <c r="G12" i="10"/>
  <c r="E15" i="10"/>
  <c r="E12" i="10"/>
  <c r="K15" i="10"/>
  <c r="E17" i="10"/>
  <c r="I11" i="10"/>
  <c r="E5" i="10"/>
  <c r="D17" i="10"/>
  <c r="C15" i="10"/>
  <c r="M5" i="10"/>
  <c r="H7" i="10"/>
  <c r="K7" i="10"/>
  <c r="E23" i="10"/>
  <c r="K19" i="10"/>
  <c r="K16" i="10"/>
  <c r="L19" i="10"/>
  <c r="J12" i="10"/>
  <c r="I12" i="10"/>
  <c r="F11" i="10"/>
  <c r="J17" i="10"/>
  <c r="N17" i="10"/>
  <c r="F23" i="10"/>
  <c r="N16" i="10"/>
  <c r="E11" i="10"/>
  <c r="J16" i="10"/>
  <c r="J32" i="10"/>
  <c r="F32" i="10"/>
  <c r="O19" i="10"/>
  <c r="E19" i="10"/>
  <c r="N32" i="10"/>
  <c r="E32" i="10"/>
  <c r="O32" i="10"/>
  <c r="I32" i="10"/>
  <c r="A7" i="3"/>
  <c r="B7" i="3" s="1"/>
  <c r="A8" i="3"/>
  <c r="B8" i="3" s="1"/>
  <c r="A9" i="3"/>
  <c r="B9" i="3" s="1"/>
  <c r="A10" i="3"/>
  <c r="B10" i="3" s="1"/>
  <c r="A11" i="3"/>
  <c r="B11" i="3" s="1"/>
  <c r="A12" i="3"/>
  <c r="B12" i="3" s="1"/>
  <c r="A13" i="3"/>
  <c r="B13" i="3" s="1"/>
  <c r="A14" i="3"/>
  <c r="B14" i="3" s="1"/>
  <c r="A15" i="3"/>
  <c r="B15" i="3" s="1"/>
  <c r="A16" i="3"/>
  <c r="B16" i="3" s="1"/>
  <c r="A17" i="3"/>
  <c r="B17" i="3" s="1"/>
  <c r="A18" i="3"/>
  <c r="B18" i="3" s="1"/>
  <c r="A19" i="3"/>
  <c r="B19" i="3" s="1"/>
  <c r="A20" i="3"/>
  <c r="B20" i="3" s="1"/>
  <c r="A21" i="3"/>
  <c r="B21" i="3" s="1"/>
  <c r="B22" i="3"/>
  <c r="B23" i="3"/>
  <c r="B24" i="3"/>
  <c r="B25" i="3"/>
  <c r="B26" i="3"/>
  <c r="B27" i="3"/>
  <c r="A28" i="3"/>
  <c r="B28" i="3" s="1"/>
  <c r="A29" i="3"/>
  <c r="B29" i="3" s="1"/>
  <c r="A30" i="3"/>
  <c r="B30" i="3" s="1"/>
  <c r="A31" i="3"/>
  <c r="B31" i="3" s="1"/>
  <c r="C31" i="3" s="1"/>
  <c r="A32" i="3"/>
  <c r="B32" i="3" s="1"/>
  <c r="C32" i="3" s="1"/>
  <c r="A33" i="3"/>
  <c r="B33" i="3" s="1"/>
  <c r="C33" i="3" s="1"/>
  <c r="A6" i="3"/>
  <c r="B6" i="3" s="1"/>
  <c r="A5" i="3"/>
  <c r="B5" i="3" s="1"/>
  <c r="A4" i="3"/>
  <c r="B4" i="3" s="1"/>
  <c r="A3" i="3"/>
  <c r="B3" i="3" s="1"/>
  <c r="A2" i="3"/>
  <c r="B2" i="3" s="1"/>
  <c r="C2" i="3"/>
  <c r="C3" i="3"/>
  <c r="C4" i="3"/>
  <c r="C5" i="3"/>
  <c r="C6" i="3" s="1"/>
  <c r="C7" i="3" s="1"/>
  <c r="C8" i="3" s="1"/>
  <c r="C9" i="3"/>
  <c r="C10" i="3"/>
  <c r="C11" i="3"/>
  <c r="C12" i="3"/>
  <c r="C13" i="3" s="1"/>
  <c r="C14" i="3" s="1"/>
  <c r="C15" i="3" s="1"/>
  <c r="C16" i="3" s="1"/>
  <c r="C17" i="3" s="1"/>
  <c r="C18" i="3" s="1"/>
  <c r="C19" i="3" s="1"/>
  <c r="C20" i="3" s="1"/>
  <c r="C21" i="3" s="1"/>
  <c r="C22" i="3"/>
  <c r="C23" i="3" s="1"/>
  <c r="C24" i="3" s="1"/>
  <c r="C25" i="3" s="1"/>
  <c r="C26" i="3" s="1"/>
  <c r="C27" i="3" s="1"/>
  <c r="C28" i="3" s="1"/>
  <c r="C29" i="3" s="1"/>
  <c r="C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<sst xmlns="http://schemas.openxmlformats.org/spreadsheetml/2006/main" count="259" uniqueCount="80">
  <si>
    <t>Teams</t>
  </si>
  <si>
    <t>Fixture type</t>
  </si>
  <si>
    <t>Number of teams</t>
  </si>
  <si>
    <t>Pari</t>
  </si>
  <si>
    <t>Abhi</t>
  </si>
  <si>
    <t>Bhuvi</t>
  </si>
  <si>
    <t>Column1</t>
  </si>
  <si>
    <t>Knock Out</t>
  </si>
  <si>
    <t>Number of rounds in Round Robin</t>
  </si>
  <si>
    <t>Round Robin</t>
  </si>
  <si>
    <t>column2</t>
  </si>
  <si>
    <t>Week 1 Fixtures</t>
  </si>
  <si>
    <t>v</t>
  </si>
  <si>
    <t>Week 2 Fixtures</t>
  </si>
  <si>
    <t>Week 3 Fixtures</t>
  </si>
  <si>
    <t>Random Number</t>
  </si>
  <si>
    <t>ID</t>
  </si>
  <si>
    <t>Home</t>
  </si>
  <si>
    <t>Away</t>
  </si>
  <si>
    <t>Position</t>
  </si>
  <si>
    <t>Team</t>
  </si>
  <si>
    <t>P</t>
  </si>
  <si>
    <t>W</t>
  </si>
  <si>
    <t>L</t>
  </si>
  <si>
    <t>D</t>
  </si>
  <si>
    <t>F</t>
  </si>
  <si>
    <t>A</t>
  </si>
  <si>
    <t>GD</t>
  </si>
  <si>
    <t>Pts</t>
  </si>
  <si>
    <t>Rank Ties</t>
  </si>
  <si>
    <t>Rank</t>
  </si>
  <si>
    <t>Goals</t>
  </si>
  <si>
    <t>GD Rank</t>
  </si>
  <si>
    <t>Goals Rank</t>
  </si>
  <si>
    <t>Max. 32</t>
  </si>
  <si>
    <t>Anagh</t>
  </si>
  <si>
    <t>Anki</t>
  </si>
  <si>
    <t>Atreya</t>
  </si>
  <si>
    <t>Week 4 Fixtures</t>
  </si>
  <si>
    <t>Week 5 Fixtures</t>
  </si>
  <si>
    <t>App By ExcelLabs</t>
  </si>
  <si>
    <t>P1</t>
  </si>
  <si>
    <t>P2</t>
  </si>
  <si>
    <t>P3</t>
  </si>
  <si>
    <t>P4</t>
  </si>
  <si>
    <t>P5</t>
  </si>
  <si>
    <t>P6</t>
  </si>
  <si>
    <t>P7</t>
  </si>
  <si>
    <t>P8</t>
  </si>
  <si>
    <t>Week 6 Fixtures</t>
  </si>
  <si>
    <t>Week 7 Fixtures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</si>
  <si>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</si>
  <si>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</si>
  <si>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</si>
  <si>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</si>
  <si>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</si>
  <si>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</si>
  <si>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</si>
  <si>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</si>
  <si>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</si>
  <si>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</si>
  <si>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</si>
  <si>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</si>
  <si>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</si>
  <si>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</si>
  <si>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</si>
  <si>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</si>
  <si>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</si>
  <si>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</si>
  <si>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</si>
  <si>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</si>
  <si>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</si>
  <si>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</si>
  <si>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</si>
  <si>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</si>
  <si>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</si>
  <si>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</si>
  <si>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</si>
  <si>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</si>
  <si>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Team 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</si>
</sst>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3">
    <xf numFmtId="0" fontId="0" fillId="0" borderId="0" xfId="0"/>
    <xf numFmtId="0" fontId="1" fillId="0" borderId="0" xfId="0" applyFont="1"/>
    <xf numFmtId="0" fontId="0" fillId="0" borderId="2" xfId="0" applyBorder="1"/>
    <xf numFmtId="0" fontId="0" fillId="3" borderId="2" xfId="0" applyFill="1" applyBorder="1"/>
    <xf numFmtId="0" fontId="0" fillId="3" borderId="3" xfId="0" applyFill="1" applyBorder="1"/>
    <xf numFmtId="0" fontId="0" fillId="0" borderId="3" xfId="0" applyBorder="1"/>
    <xf numFmtId="0" fontId="1" fillId="4" borderId="0" xfId="0" applyFont="1" applyFill="1" applyAlignment="1">
      <alignment horizontal="center"/>
    </xf>
    <xf numFmtId="0" fontId="1" fillId="0" borderId="5" xfId="0" applyFont="1" applyBorder="1"/>
    <xf numFmtId="0" fontId="4" fillId="0" borderId="0" xfId="1" applyAlignment="1" applyProtection="1"/>
    <xf numFmtId="0" fontId="0" fillId="0" borderId="0" xfId="0" applyProtection="1">
      <protection locked="0"/>
    </xf>
    <xf numFmtId="0" fontId="6" fillId="0" borderId="0" xfId="1" applyFont="1" applyAlignment="1" applyProtection="1">
      <protection locked="0"/>
    </xf>
    <xf numFmtId="0" fontId="0" fillId="0" borderId="1" xfId="0" applyBorder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164" fontId="0" fillId="4" borderId="4" xfId="0" applyNumberFormat="1" applyFill="1" applyBorder="1" applyProtection="1">
      <protection locked="0"/>
    </xf>
    <xf numFmtId="0" fontId="1" fillId="7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Protection="1"/>
    <xf numFmtId="0" fontId="0" fillId="2" borderId="0" xfId="0" applyFill="1" applyProtection="1"/>
    <xf numFmtId="0" fontId="1" fillId="2" borderId="1" xfId="0" applyFont="1" applyFill="1" applyBorder="1" applyProtection="1"/>
    <xf numFmtId="0" fontId="7" fillId="0" borderId="0" xfId="0" applyFont="1" applyProtection="1"/>
    <xf numFmtId="0" fontId="0" fillId="3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7</xdr:row>
          <xdr:rowOff>22860</xdr:rowOff>
        </xdr:from>
        <xdr:to>
          <xdr:col>4</xdr:col>
          <xdr:colOff>30480</xdr:colOff>
          <xdr:row>8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Fixtures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19050</xdr:colOff>
      <xdr:row>8</xdr:row>
      <xdr:rowOff>57151</xdr:rowOff>
    </xdr:from>
    <xdr:to>
      <xdr:col>6</xdr:col>
      <xdr:colOff>2225040</xdr:colOff>
      <xdr:row>11</xdr:row>
      <xdr:rowOff>134536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2D0866-AE7B-431E-F01D-435C2ED8EA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976" b="36007"/>
        <a:stretch/>
      </xdr:blipFill>
      <xdr:spPr>
        <a:xfrm>
          <a:off x="5345430" y="1583056"/>
          <a:ext cx="2204085" cy="616500"/>
        </a:xfrm>
        <a:prstGeom prst="rect">
          <a:avLst/>
        </a:prstGeom>
      </xdr:spPr>
    </xdr:pic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bhilashGokhale/Downloads/excel_fixture_list_and_table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ams"/>
      <sheetName val="Home"/>
      <sheetName val="Away"/>
      <sheetName val="Fixtures"/>
      <sheetName val="Calculations"/>
      <sheetName val="League Table"/>
      <sheetName val="Random"/>
      <sheetName val="Data"/>
    </sheetNames>
    <sheetDataSet>
      <sheetData sheetId="0">
        <row r="6">
          <cell r="E6">
            <v>20</v>
          </cell>
        </row>
      </sheetData>
      <sheetData sheetId="1"/>
      <sheetData sheetId="2"/>
      <sheetData sheetId="3"/>
      <sheetData sheetId="4">
        <row r="3">
          <cell r="C3" t="str">
            <v>Arsenal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</row>
        <row r="4">
          <cell r="C4" t="str">
            <v>Aston Villa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</row>
        <row r="5">
          <cell r="C5" t="str">
            <v>Blackburn Rovers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</row>
        <row r="6">
          <cell r="C6" t="str">
            <v>Bolton Wanderers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</row>
        <row r="7">
          <cell r="C7" t="str">
            <v>Chelsea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</row>
        <row r="8">
          <cell r="C8" t="str">
            <v>Everton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</row>
        <row r="9">
          <cell r="C9" t="str">
            <v>Fulham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</row>
        <row r="10">
          <cell r="C10" t="str">
            <v>Liverpool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</row>
        <row r="11">
          <cell r="C11" t="str">
            <v>Manchester City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</row>
        <row r="12">
          <cell r="C12" t="str">
            <v>Manchester United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</row>
        <row r="13">
          <cell r="C13" t="str">
            <v>Newcastle United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</row>
        <row r="14">
          <cell r="C14" t="str">
            <v>Norwich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</row>
        <row r="15">
          <cell r="C15" t="str">
            <v>Queens Park Rangers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</row>
        <row r="16">
          <cell r="C16" t="str">
            <v>Stoke City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</row>
        <row r="17">
          <cell r="C17" t="str">
            <v>Sunderland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</row>
        <row r="18">
          <cell r="C18" t="str">
            <v>Swansea City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</row>
        <row r="19">
          <cell r="C19" t="str">
            <v>Tottenham Hotspur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</row>
        <row r="20">
          <cell r="C20" t="str">
            <v>West Bromwich Albion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</row>
        <row r="21">
          <cell r="C21" t="str">
            <v>Wigan Athletic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</row>
        <row r="22">
          <cell r="C22" t="str">
            <v>Wolves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7"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</row>
        <row r="28"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</row>
        <row r="29">
          <cell r="C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</row>
        <row r="30"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1"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</row>
      </sheetData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B3" totalsRowShown="0">
  <autoFilter ref="A1:B3" xr:uid="{00000000-0009-0000-0100-000003000000}"/>
  <tableColumns count="2">
    <tableColumn id="1" xr3:uid="{00000000-0010-0000-0000-000001000000}" name="Column1"/>
    <tableColumn id="2" xr3:uid="{00000000-0010-0000-0000-000002000000}" name="column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3"/>
  <sheetViews>
    <sheetView tabSelected="1" workbookViewId="0">
      <selection activeCell="B15" sqref="B15"/>
    </sheetView>
  </sheetViews>
  <sheetFormatPr defaultColWidth="8.6640625" defaultRowHeight="14.4" x14ac:dyDescent="0.3"/>
  <cols>
    <col min="1" max="1" width="22.5546875" style="9" customWidth="1"/>
    <col min="2" max="2" width="8.6640625" style="9"/>
    <col min="3" max="3" width="17.44140625" style="9" customWidth="1"/>
    <col min="4" max="4" width="4.109375" style="9" customWidth="1"/>
    <col min="5" max="5" width="16.33203125" style="9" customWidth="1"/>
    <col min="6" max="6" width="8.6640625" style="9"/>
    <col min="7" max="7" width="33.6640625" style="9" customWidth="1"/>
    <col min="8" max="8" width="3" style="9" customWidth="1"/>
    <col min="9" max="16384" width="8.6640625" style="9"/>
  </cols>
  <sheetData>
    <row r="1" spans="1:9" ht="15" thickBot="1" x14ac:dyDescent="0.35">
      <c r="A1" s="20" t="s">
        <v>0</v>
      </c>
      <c r="C1" s="18"/>
    </row>
    <row r="2" spans="1:9" ht="15" thickBot="1" x14ac:dyDescent="0.35">
      <c r="A2" s="9" t="s">
        <v>51</v>
      </c>
      <c r="C2" s="19" t="s">
        <v>1</v>
      </c>
      <c r="E2" s="11" t="s">
        <v>7</v>
      </c>
      <c r="G2" s="13" t="s">
        <v>8</v>
      </c>
      <c r="H2" s="13"/>
      <c r="I2" s="14">
        <v>1</v>
      </c>
    </row>
    <row r="3" spans="1:9" ht="15" thickBot="1" x14ac:dyDescent="0.35">
      <c r="A3" s="9" t="s">
        <v>52</v>
      </c>
      <c r="C3" s="18"/>
      <c r="G3" s="13"/>
      <c r="H3" s="13"/>
      <c r="I3" s="13"/>
    </row>
    <row r="4" spans="1:9" ht="15" thickBot="1" x14ac:dyDescent="0.35">
      <c r="A4" s="9" t="s">
        <v>53</v>
      </c>
      <c r="C4" s="19" t="s">
        <v>2</v>
      </c>
      <c r="E4" s="11">
        <f>COUNTA(A2:A33)</f>
        <v>29</v>
      </c>
      <c r="F4" s="12" t="s">
        <v>34</v>
      </c>
      <c r="G4" s="13"/>
      <c r="H4" s="13"/>
      <c r="I4" s="13"/>
    </row>
    <row r="5" spans="1:9" x14ac:dyDescent="0.3">
      <c r="A5" s="9" t="s">
        <v>54</v>
      </c>
      <c r="C5" s="18"/>
      <c r="E5" s="12"/>
    </row>
    <row r="6" spans="1:9" x14ac:dyDescent="0.3">
      <c r="A6" s="9" t="s">
        <v>55</v>
      </c>
    </row>
    <row r="7" spans="1:9" x14ac:dyDescent="0.3">
      <c r="A7" s="9" t="s">
        <v>56</v>
      </c>
    </row>
    <row r="8" spans="1:9" ht="18" x14ac:dyDescent="0.35">
      <c r="A8" s="9" t="s">
        <v>57</v>
      </c>
      <c r="F8" s="18"/>
      <c r="G8" s="21" t="s">
        <v>40</v>
      </c>
    </row>
    <row r="9" spans="1:9" x14ac:dyDescent="0.3">
      <c r="A9" s="9" t="s">
        <v>58</v>
      </c>
      <c r="F9" s="18"/>
      <c r="G9" s="18"/>
    </row>
    <row r="10" spans="1:9" x14ac:dyDescent="0.3">
      <c r="A10" s="9" t="s">
        <v>59</v>
      </c>
      <c r="F10" s="18"/>
      <c r="G10" s="18"/>
    </row>
    <row r="11" spans="1:9" x14ac:dyDescent="0.3">
      <c r="A11" s="9" t="s">
        <v>60</v>
      </c>
      <c r="F11" s="18"/>
      <c r="G11" s="18"/>
    </row>
    <row r="12" spans="1:9" x14ac:dyDescent="0.3">
      <c r="A12" s="9" t="s">
        <v>61</v>
      </c>
      <c r="F12" s="18"/>
      <c r="G12" s="18"/>
    </row>
    <row r="13" spans="1:9" x14ac:dyDescent="0.3">
      <c r="A13" s="9" t="s">
        <v>62</v>
      </c>
      <c r="F13" s="18"/>
      <c r="G13" s="18"/>
    </row>
    <row r="14" spans="1:9" x14ac:dyDescent="0.3">
      <c r="A14" s="9" t="s">
        <v>63</v>
      </c>
      <c r="F14" s="18"/>
      <c r="G14" s="18"/>
    </row>
    <row r="15" spans="1:9" x14ac:dyDescent="0.3">
      <c r="A15" s="9" t="s">
        <v>64</v>
      </c>
    </row>
    <row r="16" spans="1:9" x14ac:dyDescent="0.3">
      <c r="A16" s="9" t="s">
        <v>65</v>
      </c>
      <c r="G16" s="13"/>
    </row>
    <row r="17" spans="1:1" x14ac:dyDescent="0.3">
      <c r="A17" s="9" t="s">
        <v>66</v>
      </c>
    </row>
    <row r="18" spans="1:1" x14ac:dyDescent="0.3">
      <c r="A18" s="9" t="s">
        <v>67</v>
      </c>
    </row>
    <row r="19" spans="1:1" x14ac:dyDescent="0.3">
      <c r="A19" s="9" t="s">
        <v>68</v>
      </c>
    </row>
    <row r="20" spans="1:1" x14ac:dyDescent="0.3">
      <c r="A20" s="9" t="s">
        <v>69</v>
      </c>
    </row>
    <row r="21" spans="1:1" x14ac:dyDescent="0.3">
      <c r="A21" s="9" t="s">
        <v>70</v>
      </c>
    </row>
    <row r="22" spans="1:1" x14ac:dyDescent="0.3">
      <c r="A22" s="9" t="s">
        <v>71</v>
      </c>
    </row>
    <row r="23" spans="1:1" x14ac:dyDescent="0.3">
      <c r="A23" s="9" t="s">
        <v>72</v>
      </c>
    </row>
    <row r="24" spans="1:1" x14ac:dyDescent="0.3">
      <c r="A24" s="9" t="s">
        <v>73</v>
      </c>
    </row>
    <row r="25" spans="1:1" x14ac:dyDescent="0.3">
      <c r="A25" s="9" t="s">
        <v>74</v>
      </c>
    </row>
    <row r="26" spans="1:1" x14ac:dyDescent="0.3">
      <c r="A26" s="9" t="s">
        <v>75</v>
      </c>
    </row>
    <row r="27" spans="1:1" x14ac:dyDescent="0.3">
      <c r="A27" s="9" t="s">
        <v>76</v>
      </c>
    </row>
    <row r="28" spans="1:1" x14ac:dyDescent="0.3">
      <c r="A28" s="9" t="s">
        <v>77</v>
      </c>
    </row>
    <row r="29" spans="1:1" x14ac:dyDescent="0.3">
      <c r="A29" s="9" t="s">
        <v>78</v>
      </c>
    </row>
    <row r="30" spans="1:1" x14ac:dyDescent="0.3">
      <c r="A30" s="9" t="s">
        <v>79</v>
      </c>
    </row>
    <row r="31" spans="1:1" x14ac:dyDescent="0.3">
      <c r="A31" s="10"/>
    </row>
    <row r="32" spans="1:1" x14ac:dyDescent="0.3">
      <c r="A32" s="10"/>
    </row>
    <row r="33" spans="1:1" x14ac:dyDescent="0.3">
      <c r="A33" s="10"/>
    </row>
  </sheetData>
  <sheetProtection algorithmName="SHA-512" hashValue="Pp+yqMIPdSLLvz4LjYkmXb94v1Big2Dmyqa0ZUznDEsdTb41CQIbhqk/Z6TuQrIifchaULeHkw4+Up5EqbN85Q==" saltValue="8yBlj+L8sSVMVUo1PSa+nA==" spinCount="100000" sheet="1" formatCells="0" selectLockedCells="1"/>
  <phoneticPr fontId="5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FixtureList">
                <anchor moveWithCells="1" sizeWithCells="1">
                  <from>
                    <xdr:col>2</xdr:col>
                    <xdr:colOff>22860</xdr:colOff>
                    <xdr:row>7</xdr:row>
                    <xdr:rowOff>22860</xdr:rowOff>
                  </from>
                  <to>
                    <xdr:col>4</xdr:col>
                    <xdr:colOff>30480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Please enter fixture type" prompt="Please select fixture type" xr:uid="{00000000-0002-0000-0000-000000000000}">
          <x14:formula1>
            <xm:f>'Basic data'!$A$2:$A$3</xm:f>
          </x14:formula1>
          <xm:sqref>E2</xm:sqref>
        </x14:dataValidation>
        <x14:dataValidation type="list" showInputMessage="1" showErrorMessage="1" promptTitle="Please select the number" xr:uid="{00000000-0002-0000-0000-000001000000}">
          <x14:formula1>
            <xm:f>'Basic data'!$B$2:$B$3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6"/>
  <sheetViews>
    <sheetView workbookViewId="0">
      <selection activeCell="F6" sqref="F6"/>
    </sheetView>
  </sheetViews>
  <sheetFormatPr defaultRowHeight="14.4" x14ac:dyDescent="0.3"/>
  <sheetData>
    <row r="1" spans="1:6" x14ac:dyDescent="0.3">
      <c r="B1" t="s">
        <v>5</v>
      </c>
      <c r="C1" t="s">
        <v>37</v>
      </c>
      <c r="D1" t="s">
        <v>3</v>
      </c>
      <c r="E1" t="s">
        <v>36</v>
      </c>
      <c r="F1" t="s">
        <v>35</v>
      </c>
    </row>
    <row r="2" spans="1:6" x14ac:dyDescent="0.3">
      <c r="A2" t="s">
        <v>37</v>
      </c>
      <c r="B2">
        <v>1</v>
      </c>
    </row>
    <row r="3" spans="1:6" x14ac:dyDescent="0.3">
      <c r="A3" t="s">
        <v>3</v>
      </c>
      <c r="B3">
        <v>2</v>
      </c>
      <c r="C3">
        <v>3</v>
      </c>
    </row>
    <row r="4" spans="1:6" x14ac:dyDescent="0.3">
      <c r="A4" t="s">
        <v>36</v>
      </c>
      <c r="B4">
        <v>3</v>
      </c>
      <c r="C4">
        <v>4</v>
      </c>
      <c r="D4">
        <v>5</v>
      </c>
    </row>
    <row r="5" spans="1:6" x14ac:dyDescent="0.3">
      <c r="A5" t="s">
        <v>35</v>
      </c>
      <c r="B5">
        <v>4</v>
      </c>
      <c r="C5">
        <v>5</v>
      </c>
      <c r="D5">
        <v>1</v>
      </c>
      <c r="E5">
        <v>2</v>
      </c>
    </row>
    <row r="6" spans="1:6" x14ac:dyDescent="0.3">
      <c r="A6" t="s">
        <v>4</v>
      </c>
      <c r="B6">
        <v>5</v>
      </c>
      <c r="C6">
        <v>2</v>
      </c>
      <c r="D6">
        <v>4</v>
      </c>
      <c r="E6">
        <v>1</v>
      </c>
      <c r="F6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41"/>
  <sheetViews>
    <sheetView topLeftCell="A31" workbookViewId="0">
      <selection activeCell="A43" sqref="A43"/>
    </sheetView>
  </sheetViews>
  <sheetFormatPr defaultRowHeight="14.4" x14ac:dyDescent="0.3"/>
  <cols>
    <col min="1" max="1" width="14.5546875" customWidth="1"/>
    <col min="2" max="2" width="8" customWidth="1"/>
    <col min="3" max="3" width="2.6640625" customWidth="1"/>
    <col min="4" max="4" width="8" customWidth="1"/>
    <col min="5" max="5" width="18.6640625" customWidth="1"/>
  </cols>
  <sheetData>
    <row r="1" spans="1:5" x14ac:dyDescent="0.3">
      <c r="A1" s="1" t="s">
        <v>11</v>
      </c>
    </row>
    <row r="2" spans="1:5" x14ac:dyDescent="0.3">
      <c r="A2" t="s">
        <v>44</v>
      </c>
      <c r="C2" t="s">
        <v>12</v>
      </c>
      <c r="E2" t="s">
        <v>48</v>
      </c>
    </row>
    <row r="3" spans="1:5" x14ac:dyDescent="0.3">
      <c r="A3" t="s">
        <v>46</v>
      </c>
      <c r="C3" t="s">
        <v>12</v>
      </c>
      <c r="E3" t="s">
        <v>45</v>
      </c>
    </row>
    <row r="4" spans="1:5" x14ac:dyDescent="0.3">
      <c r="A4" t="s">
        <v>43</v>
      </c>
      <c r="C4" t="s">
        <v>12</v>
      </c>
      <c r="E4" t="s">
        <v>47</v>
      </c>
    </row>
    <row r="5" spans="1:5" x14ac:dyDescent="0.3">
      <c r="A5" t="s">
        <v>42</v>
      </c>
      <c r="C5" t="s">
        <v>12</v>
      </c>
      <c r="E5" t="s">
        <v>41</v>
      </c>
    </row>
    <row r="7" spans="1:5" x14ac:dyDescent="0.3">
      <c r="A7" s="1" t="s">
        <v>13</v>
      </c>
    </row>
    <row r="8" spans="1:5" x14ac:dyDescent="0.3">
      <c r="A8" t="s">
        <v>45</v>
      </c>
      <c r="C8" t="s">
        <v>12</v>
      </c>
      <c r="E8" t="s">
        <v>48</v>
      </c>
    </row>
    <row r="9" spans="1:5" x14ac:dyDescent="0.3">
      <c r="A9" t="s">
        <v>42</v>
      </c>
      <c r="C9" t="s">
        <v>12</v>
      </c>
      <c r="E9" t="s">
        <v>44</v>
      </c>
    </row>
    <row r="10" spans="1:5" x14ac:dyDescent="0.3">
      <c r="A10" t="s">
        <v>46</v>
      </c>
      <c r="C10" t="s">
        <v>12</v>
      </c>
      <c r="E10" t="s">
        <v>47</v>
      </c>
    </row>
    <row r="11" spans="1:5" x14ac:dyDescent="0.3">
      <c r="A11" t="s">
        <v>43</v>
      </c>
      <c r="C11" t="s">
        <v>12</v>
      </c>
      <c r="E11" t="s">
        <v>41</v>
      </c>
    </row>
    <row r="13" spans="1:5" x14ac:dyDescent="0.3">
      <c r="A13" s="1" t="s">
        <v>14</v>
      </c>
    </row>
    <row r="14" spans="1:5" x14ac:dyDescent="0.3">
      <c r="A14" t="s">
        <v>47</v>
      </c>
      <c r="C14" t="s">
        <v>12</v>
      </c>
      <c r="E14" t="s">
        <v>48</v>
      </c>
    </row>
    <row r="15" spans="1:5" x14ac:dyDescent="0.3">
      <c r="A15" t="s">
        <v>45</v>
      </c>
      <c r="C15" t="s">
        <v>12</v>
      </c>
      <c r="E15" t="s">
        <v>44</v>
      </c>
    </row>
    <row r="16" spans="1:5" x14ac:dyDescent="0.3">
      <c r="A16" t="s">
        <v>46</v>
      </c>
      <c r="C16" t="s">
        <v>12</v>
      </c>
      <c r="E16" t="s">
        <v>41</v>
      </c>
    </row>
    <row r="17" spans="1:5" x14ac:dyDescent="0.3">
      <c r="A17" t="s">
        <v>42</v>
      </c>
      <c r="C17" t="s">
        <v>12</v>
      </c>
      <c r="E17" t="s">
        <v>43</v>
      </c>
    </row>
    <row r="19" spans="1:5" x14ac:dyDescent="0.3">
      <c r="A19" s="1" t="s">
        <v>38</v>
      </c>
    </row>
    <row r="20" spans="1:5" x14ac:dyDescent="0.3">
      <c r="A20" t="s">
        <v>41</v>
      </c>
      <c r="C20" t="s">
        <v>12</v>
      </c>
      <c r="E20" t="s">
        <v>48</v>
      </c>
    </row>
    <row r="21" spans="1:5" x14ac:dyDescent="0.3">
      <c r="A21" t="s">
        <v>47</v>
      </c>
      <c r="C21" t="s">
        <v>12</v>
      </c>
      <c r="E21" t="s">
        <v>44</v>
      </c>
    </row>
    <row r="22" spans="1:5" x14ac:dyDescent="0.3">
      <c r="A22" t="s">
        <v>42</v>
      </c>
      <c r="C22" t="s">
        <v>12</v>
      </c>
      <c r="E22" t="s">
        <v>45</v>
      </c>
    </row>
    <row r="23" spans="1:5" x14ac:dyDescent="0.3">
      <c r="A23" t="s">
        <v>46</v>
      </c>
      <c r="C23" t="s">
        <v>12</v>
      </c>
      <c r="E23" t="s">
        <v>43</v>
      </c>
    </row>
    <row r="25" spans="1:5" x14ac:dyDescent="0.3">
      <c r="A25" s="1" t="s">
        <v>39</v>
      </c>
    </row>
    <row r="26" spans="1:5" x14ac:dyDescent="0.3">
      <c r="A26" t="s">
        <v>43</v>
      </c>
      <c r="C26" t="s">
        <v>12</v>
      </c>
      <c r="E26" t="s">
        <v>48</v>
      </c>
    </row>
    <row r="27" spans="1:5" x14ac:dyDescent="0.3">
      <c r="A27" t="s">
        <v>41</v>
      </c>
      <c r="C27" t="s">
        <v>12</v>
      </c>
      <c r="E27" t="s">
        <v>44</v>
      </c>
    </row>
    <row r="28" spans="1:5" x14ac:dyDescent="0.3">
      <c r="A28" t="s">
        <v>47</v>
      </c>
      <c r="C28" t="s">
        <v>12</v>
      </c>
      <c r="E28" t="s">
        <v>45</v>
      </c>
    </row>
    <row r="29" spans="1:5" x14ac:dyDescent="0.3">
      <c r="A29" t="s">
        <v>42</v>
      </c>
      <c r="C29" t="s">
        <v>12</v>
      </c>
      <c r="E29" t="s">
        <v>46</v>
      </c>
    </row>
    <row r="31" spans="1:5" x14ac:dyDescent="0.3">
      <c r="A31" s="1" t="s">
        <v>49</v>
      </c>
    </row>
    <row r="32" spans="1:5" x14ac:dyDescent="0.3">
      <c r="A32" t="s">
        <v>46</v>
      </c>
      <c r="C32" t="s">
        <v>12</v>
      </c>
      <c r="E32" t="s">
        <v>48</v>
      </c>
    </row>
    <row r="33" spans="1:5" x14ac:dyDescent="0.3">
      <c r="A33" t="s">
        <v>43</v>
      </c>
      <c r="C33" t="s">
        <v>12</v>
      </c>
      <c r="E33" t="s">
        <v>44</v>
      </c>
    </row>
    <row r="34" spans="1:5" x14ac:dyDescent="0.3">
      <c r="A34" t="s">
        <v>41</v>
      </c>
      <c r="C34" t="s">
        <v>12</v>
      </c>
      <c r="E34" t="s">
        <v>45</v>
      </c>
    </row>
    <row r="35" spans="1:5" x14ac:dyDescent="0.3">
      <c r="A35" t="s">
        <v>42</v>
      </c>
      <c r="C35" t="s">
        <v>12</v>
      </c>
      <c r="E35" t="s">
        <v>47</v>
      </c>
    </row>
    <row r="37" spans="1:5" x14ac:dyDescent="0.3">
      <c r="A37" s="1" t="s">
        <v>50</v>
      </c>
    </row>
    <row r="38" spans="1:5" x14ac:dyDescent="0.3">
      <c r="A38" t="s">
        <v>42</v>
      </c>
      <c r="C38" t="s">
        <v>12</v>
      </c>
      <c r="E38" t="s">
        <v>48</v>
      </c>
    </row>
    <row r="39" spans="1:5" x14ac:dyDescent="0.3">
      <c r="A39" t="s">
        <v>46</v>
      </c>
      <c r="C39" t="s">
        <v>12</v>
      </c>
      <c r="E39" t="s">
        <v>44</v>
      </c>
    </row>
    <row r="40" spans="1:5" x14ac:dyDescent="0.3">
      <c r="A40" t="s">
        <v>43</v>
      </c>
      <c r="C40" t="s">
        <v>12</v>
      </c>
      <c r="E40" t="s">
        <v>45</v>
      </c>
    </row>
    <row r="41" spans="1:5" x14ac:dyDescent="0.3">
      <c r="A41" t="s">
        <v>41</v>
      </c>
      <c r="C41" t="s">
        <v>12</v>
      </c>
      <c r="E41" t="s">
        <v>47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3137F-0899-4B00-A8EF-3E72D8A35372}">
  <sheetPr codeName="Sheet8"/>
  <dimension ref="A1:X40"/>
  <sheetViews>
    <sheetView zoomScaleNormal="100" workbookViewId="0">
      <selection activeCell="Z24" sqref="Z24"/>
    </sheetView>
  </sheetViews>
  <sheetFormatPr defaultRowHeight="14.4" x14ac:dyDescent="0.3"/>
  <sheetData>
    <row r="1" spans="1:24" x14ac:dyDescent="0.3">
      <c r="E1" s="15" t="s">
        <v>17</v>
      </c>
      <c r="F1" s="15"/>
      <c r="G1" s="15"/>
      <c r="H1" s="15"/>
      <c r="I1" s="15"/>
      <c r="J1" s="15"/>
      <c r="K1" s="15"/>
      <c r="L1" s="16" t="s">
        <v>18</v>
      </c>
      <c r="M1" s="16"/>
      <c r="N1" s="16"/>
      <c r="O1" s="16"/>
      <c r="P1" s="16"/>
      <c r="Q1" s="16"/>
      <c r="R1" s="16"/>
    </row>
    <row r="2" spans="1:24" x14ac:dyDescent="0.3">
      <c r="A2" s="1" t="s">
        <v>29</v>
      </c>
      <c r="B2" s="1" t="s">
        <v>30</v>
      </c>
      <c r="C2" s="1" t="s">
        <v>20</v>
      </c>
      <c r="D2" s="1" t="s">
        <v>21</v>
      </c>
      <c r="E2" s="1" t="s">
        <v>22</v>
      </c>
      <c r="F2" s="1" t="s">
        <v>23</v>
      </c>
      <c r="G2" s="1" t="s">
        <v>24</v>
      </c>
      <c r="H2" s="1" t="s">
        <v>25</v>
      </c>
      <c r="I2" s="1" t="s">
        <v>26</v>
      </c>
      <c r="J2" s="1" t="s">
        <v>27</v>
      </c>
      <c r="K2" s="1" t="s">
        <v>28</v>
      </c>
      <c r="L2" s="1" t="s">
        <v>22</v>
      </c>
      <c r="M2" s="1" t="s">
        <v>23</v>
      </c>
      <c r="N2" s="1" t="s">
        <v>24</v>
      </c>
      <c r="O2" s="1" t="s">
        <v>25</v>
      </c>
      <c r="P2" s="1" t="s">
        <v>26</v>
      </c>
      <c r="Q2" s="1" t="s">
        <v>27</v>
      </c>
      <c r="R2" s="1" t="s">
        <v>28</v>
      </c>
      <c r="S2" s="1" t="s">
        <v>27</v>
      </c>
      <c r="T2" s="1" t="s">
        <v>31</v>
      </c>
      <c r="U2" s="1" t="s">
        <v>28</v>
      </c>
      <c r="V2" s="1" t="s">
        <v>30</v>
      </c>
      <c r="W2" s="1" t="s">
        <v>32</v>
      </c>
      <c r="X2" s="1" t="s">
        <v>33</v>
      </c>
    </row>
    <row r="3" spans="1:24" x14ac:dyDescent="0.3">
      <c r="A3">
        <f>IF(Teams!A2="","",RANK($B3,$B$3:$B$20,1)+COUNTIF($B$3:$B3,$B3)-1)</f>
        <v>1</v>
      </c>
      <c r="B3">
        <f>IF(Teams!A2="","",V3+W3+X3)</f>
        <v>1</v>
      </c>
      <c r="C3" t="str">
        <f>IF(Teams!A2="","",Teams!A2)</f>
        <v>Team 1</v>
      </c>
      <c r="D3">
        <f>IF(Teams!A2="","",COUNTIFS(Fixtures!$A:$A,Calculations!$C3,Fixtures!$B:$B,"&gt;=0")+COUNTIFS(Fixtures!$E:$E,Calculations!$C3,Fixtures!$D:$D,"&gt;=0"))</f>
        <v>0</v>
      </c>
      <c r="E3" cm="1">
        <f t="array" ref="E3">IF(Teams!A2="","",SUMPRODUCT((Fixtures!$A:$A=Calculations!$C3)*(Fixtures!$B:$B&gt;Fixtures!$D:$D)))</f>
        <v>0</v>
      </c>
      <c r="F3" cm="1">
        <f t="array" ref="F3">IF(Teams!A2="","",SUMPRODUCT((Fixtures!$A:$A=Calculations!$C3)*(Fixtures!$B:$B&lt;Fixtures!$D:$D)))</f>
        <v>0</v>
      </c>
      <c r="G3" cm="1">
        <f t="array" ref="G3">IF(Teams!A2="","",SUMPRODUCT((Fixtures!$A:$A=Calculations!$C3)*(Fixtures!$B:$B=Fixtures!$D:$D)*(Fixtures!$B:$B&lt;&gt;"")))</f>
        <v>0</v>
      </c>
      <c r="H3">
        <f>IF(Teams!A2="","",SUMIFS(Fixtures!$B:$B,Fixtures!$A:$A,Calculations!$C3,Fixtures!$B:$B,"&gt;=0"))</f>
        <v>0</v>
      </c>
      <c r="I3">
        <f>IF(Teams!A2="","",SUMIFS(Fixtures!$D:$D,Fixtures!$A:$A,Calculations!$C3,Fixtures!$D:$D,"&gt;=0"))</f>
        <v>0</v>
      </c>
      <c r="J3">
        <f>IF(Teams!A2="","",H3-I3)</f>
        <v>0</v>
      </c>
      <c r="K3">
        <f>IF(Teams!A2="","",$E3*'Basic data'!$E$2+$G3*'Basic data'!$E$3)</f>
        <v>0</v>
      </c>
      <c r="L3" cm="1">
        <f t="array" ref="L3">IF(Teams!A2="","",SUMPRODUCT((Fixtures!$E:$E=Calculations!$C3)*(Fixtures!$D:$D&gt;Fixtures!$B:$B)))</f>
        <v>0</v>
      </c>
      <c r="M3" cm="1">
        <f t="array" ref="M3">IF(Teams!A2="","",SUMPRODUCT((Fixtures!$E:$E=Calculations!$C3)*(Fixtures!$D:$D&lt;Fixtures!$B:$B)))</f>
        <v>0</v>
      </c>
      <c r="N3" cm="1">
        <f t="array" ref="N3">IF(Teams!A2="","",SUMPRODUCT((Fixtures!$E:$E=Calculations!$C3)*(Fixtures!$D:$D=Fixtures!$B:$B)*(Fixtures!$D:$D&lt;&gt;"")))</f>
        <v>0</v>
      </c>
      <c r="O3">
        <f>IF(Teams!A2="","",SUMIFS(Fixtures!$D:$D,Fixtures!$E:$E,Calculations!$C3,Fixtures!$D:$D,"&gt;=0"))</f>
        <v>0</v>
      </c>
      <c r="P3">
        <f>IF(Teams!A2="","",SUMIFS(Fixtures!$B:$B,Fixtures!$E:$E,Calculations!$C3,Fixtures!$B:$B,"&gt;=0"))</f>
        <v>0</v>
      </c>
      <c r="Q3">
        <f>IF(Teams!A2="","",O3-P3)</f>
        <v>0</v>
      </c>
      <c r="R3">
        <f>IF(Teams!A2="","",$L3*'Basic data'!$E$2+$N3*'Basic data'!$E$3)</f>
        <v>0</v>
      </c>
      <c r="S3">
        <f>IF(Teams!A2="","",J3+Q3)</f>
        <v>0</v>
      </c>
      <c r="T3">
        <f>IF(Teams!A2="","",H3+O3)</f>
        <v>0</v>
      </c>
      <c r="U3">
        <f>IF(Teams!A2="","",K3+R3)</f>
        <v>0</v>
      </c>
      <c r="V3">
        <f>IF(Teams!A2="","",RANK(U3,$U$3:$U$22))</f>
        <v>1</v>
      </c>
      <c r="W3" cm="1">
        <f t="array" ref="W3">IF(Teams!A2="","",SUMPRODUCT(($U$3:$U$22=U3)*($S$3:$S$22&gt;S3)))</f>
        <v>0</v>
      </c>
      <c r="X3" cm="1">
        <f t="array" ref="X3">IF(Teams!A2="","",SUMPRODUCT(($U$3:$U$22=U3)*($S$3:$S$22=S3)*($T$3:$T$22&gt;T3)))</f>
        <v>0</v>
      </c>
    </row>
    <row r="4" spans="1:24" x14ac:dyDescent="0.3">
      <c r="A4">
        <f>IF(Teams!A3="","",RANK($B4,$B$3:$B$20,1)+COUNTIF($B$3:$B4,$B4)-1)</f>
        <v>2</v>
      </c>
      <c r="B4">
        <f>IF(Teams!A3="","",V4+W4+X4)</f>
        <v>1</v>
      </c>
      <c r="C4" t="str">
        <f>IF(Teams!A3="","",Teams!A3)</f>
        <v>Team 2</v>
      </c>
      <c r="D4">
        <f>IF(Teams!A3="","",COUNTIFS(Fixtures!$A:$A,Calculations!$C4,Fixtures!$B:$B,"&gt;=0")+COUNTIFS(Fixtures!$E:$E,Calculations!$C4,Fixtures!$D:$D,"&gt;=0"))</f>
        <v>0</v>
      </c>
      <c r="E4" cm="1">
        <f t="array" ref="E4">IF(Teams!A3="","",SUMPRODUCT((Fixtures!$A:$A=Calculations!$C4)*(Fixtures!$B:$B&gt;Fixtures!$D:$D)))</f>
        <v>0</v>
      </c>
      <c r="F4" cm="1">
        <f t="array" ref="F4">IF(Teams!A3="","",SUMPRODUCT((Fixtures!$A:$A=Calculations!$C4)*(Fixtures!$B:$B&lt;Fixtures!$D:$D)))</f>
        <v>0</v>
      </c>
      <c r="G4" cm="1">
        <f t="array" ref="G4">IF(Teams!A3="","",SUMPRODUCT((Fixtures!$A:$A=Calculations!$C4)*(Fixtures!$B:$B=Fixtures!$D:$D)*(Fixtures!$B:$B&lt;&gt;"")))</f>
        <v>0</v>
      </c>
      <c r="H4">
        <f>IF(Teams!A3="","",SUMIFS(Fixtures!$B:$B,Fixtures!$A:$A,Calculations!$C4,Fixtures!$B:$B,"&gt;=0"))</f>
        <v>0</v>
      </c>
      <c r="I4">
        <f>IF(Teams!A3="","",SUMIFS(Fixtures!$D:$D,Fixtures!$A:$A,Calculations!$C4,Fixtures!$D:$D,"&gt;=0"))</f>
        <v>0</v>
      </c>
      <c r="J4">
        <f>IF(Teams!A3="","",H4-I4)</f>
        <v>0</v>
      </c>
      <c r="K4">
        <f>IF(Teams!A3="","",$E4*'Basic data'!$E$2+$G4*'Basic data'!$E$3)</f>
        <v>0</v>
      </c>
      <c r="L4" cm="1">
        <f t="array" ref="L4">IF(Teams!A3="","",SUMPRODUCT((Fixtures!$E:$E=Calculations!$C4)*(Fixtures!$D:$D&gt;Fixtures!$B:$B)))</f>
        <v>0</v>
      </c>
      <c r="M4" cm="1">
        <f t="array" ref="M4">IF(Teams!A3="","",SUMPRODUCT((Fixtures!$E:$E=Calculations!$C4)*(Fixtures!$D:$D&lt;Fixtures!$B:$B)))</f>
        <v>0</v>
      </c>
      <c r="N4" cm="1">
        <f t="array" ref="N4">IF(Teams!A3="","",SUMPRODUCT((Fixtures!$E:$E=Calculations!$C4)*(Fixtures!$D:$D=Fixtures!$B:$B)*(Fixtures!$D:$D&lt;&gt;"")))</f>
        <v>0</v>
      </c>
      <c r="O4">
        <f>IF(Teams!A3="","",SUMIFS(Fixtures!$D:$D,Fixtures!$E:$E,Calculations!$C4,Fixtures!$D:$D,"&gt;=0"))</f>
        <v>0</v>
      </c>
      <c r="P4">
        <f>IF(Teams!A3="","",SUMIFS(Fixtures!$B:$B,Fixtures!$E:$E,Calculations!$C4,Fixtures!$B:$B,"&gt;=0"))</f>
        <v>0</v>
      </c>
      <c r="Q4">
        <f>IF(Teams!A3="","",O4-P4)</f>
        <v>0</v>
      </c>
      <c r="R4">
        <f>IF(Teams!A3="","",$L4*'Basic data'!$E$2+$N4*'Basic data'!$E$3)</f>
        <v>0</v>
      </c>
      <c r="S4">
        <f>IF(Teams!A3="","",J4+Q4)</f>
        <v>0</v>
      </c>
      <c r="T4">
        <f>IF(Teams!A3="","",H4+O4)</f>
        <v>0</v>
      </c>
      <c r="U4">
        <f>IF(Teams!A3="","",K4+R4)</f>
        <v>0</v>
      </c>
      <c r="V4">
        <f>IF(Teams!A3="","",RANK(U4,$U$3:$U$22))</f>
        <v>1</v>
      </c>
      <c r="W4" cm="1">
        <f t="array" ref="W4">IF(Teams!A3="","",SUMPRODUCT(($U$3:$U$22=U4)*($S$3:$S$22&gt;S4)))</f>
        <v>0</v>
      </c>
      <c r="X4" cm="1">
        <f t="array" ref="X4">IF(Teams!A3="","",SUMPRODUCT(($U$3:$U$22=U4)*($S$3:$S$22=S4)*($T$3:$T$22&gt;T4)))</f>
        <v>0</v>
      </c>
    </row>
    <row r="5" spans="1:24" x14ac:dyDescent="0.3">
      <c r="A5">
        <f>IF(Teams!A4="","",RANK($B5,$B$3:$B$20,1)+COUNTIF($B$3:$B5,$B5)-1)</f>
        <v>3</v>
      </c>
      <c r="B5">
        <f>IF(Teams!A4="","",V5+W5+X5)</f>
        <v>1</v>
      </c>
      <c r="C5" t="str">
        <f>IF(Teams!A4="","",Teams!A4)</f>
        <v>Team 3</v>
      </c>
      <c r="D5">
        <f>IF(Teams!A4="","",COUNTIFS(Fixtures!$A:$A,Calculations!$C5,Fixtures!$B:$B,"&gt;=0")+COUNTIFS(Fixtures!$E:$E,Calculations!$C5,Fixtures!$D:$D,"&gt;=0"))</f>
        <v>0</v>
      </c>
      <c r="E5" cm="1">
        <f t="array" ref="E5">IF(Teams!A4="","",SUMPRODUCT((Fixtures!$A:$A=Calculations!$C5)*(Fixtures!$B:$B&gt;Fixtures!$D:$D)))</f>
        <v>0</v>
      </c>
      <c r="F5" cm="1">
        <f t="array" ref="F5">IF(Teams!A4="","",SUMPRODUCT((Fixtures!$A:$A=Calculations!$C5)*(Fixtures!$B:$B&lt;Fixtures!$D:$D)))</f>
        <v>0</v>
      </c>
      <c r="G5" cm="1">
        <f t="array" ref="G5">IF(Teams!A4="","",SUMPRODUCT((Fixtures!$A:$A=Calculations!$C5)*(Fixtures!$B:$B=Fixtures!$D:$D)*(Fixtures!$B:$B&lt;&gt;"")))</f>
        <v>0</v>
      </c>
      <c r="H5">
        <f>IF(Teams!A4="","",SUMIFS(Fixtures!$B:$B,Fixtures!$A:$A,Calculations!$C5,Fixtures!$B:$B,"&gt;=0"))</f>
        <v>0</v>
      </c>
      <c r="I5">
        <f>IF(Teams!A4="","",SUMIFS(Fixtures!$D:$D,Fixtures!$A:$A,Calculations!$C5,Fixtures!$D:$D,"&gt;=0"))</f>
        <v>0</v>
      </c>
      <c r="J5">
        <f>IF(Teams!A4="","",H5-I5)</f>
        <v>0</v>
      </c>
      <c r="K5">
        <f>IF(Teams!A4="","",$E5*'Basic data'!$E$2+$G5*'Basic data'!$E$3)</f>
        <v>0</v>
      </c>
      <c r="L5" cm="1">
        <f t="array" ref="L5">IF(Teams!A4="","",SUMPRODUCT((Fixtures!$E:$E=Calculations!$C5)*(Fixtures!$D:$D&gt;Fixtures!$B:$B)))</f>
        <v>0</v>
      </c>
      <c r="M5" cm="1">
        <f t="array" ref="M5">IF(Teams!A4="","",SUMPRODUCT((Fixtures!$E:$E=Calculations!$C5)*(Fixtures!$D:$D&lt;Fixtures!$B:$B)))</f>
        <v>0</v>
      </c>
      <c r="N5" cm="1">
        <f t="array" ref="N5">IF(Teams!A4="","",SUMPRODUCT((Fixtures!$E:$E=Calculations!$C5)*(Fixtures!$D:$D=Fixtures!$B:$B)*(Fixtures!$D:$D&lt;&gt;"")))</f>
        <v>0</v>
      </c>
      <c r="O5">
        <f>IF(Teams!A4="","",SUMIFS(Fixtures!$D:$D,Fixtures!$E:$E,Calculations!$C5,Fixtures!$D:$D,"&gt;=0"))</f>
        <v>0</v>
      </c>
      <c r="P5">
        <f>IF(Teams!A4="","",SUMIFS(Fixtures!$B:$B,Fixtures!$E:$E,Calculations!$C5,Fixtures!$B:$B,"&gt;=0"))</f>
        <v>0</v>
      </c>
      <c r="Q5">
        <f>IF(Teams!A4="","",O5-P5)</f>
        <v>0</v>
      </c>
      <c r="R5">
        <f>IF(Teams!A4="","",$L5*'Basic data'!$E$2+$N5*'Basic data'!$E$3)</f>
        <v>0</v>
      </c>
      <c r="S5">
        <f>IF(Teams!A4="","",J5+Q5)</f>
        <v>0</v>
      </c>
      <c r="T5">
        <f>IF(Teams!A4="","",H5+O5)</f>
        <v>0</v>
      </c>
      <c r="U5">
        <f>IF(Teams!A4="","",K5+R5)</f>
        <v>0</v>
      </c>
      <c r="V5">
        <f>IF(Teams!A4="","",RANK(U5,$U$3:$U$22))</f>
        <v>1</v>
      </c>
      <c r="W5" cm="1">
        <f t="array" ref="W5">IF(Teams!A4="","",SUMPRODUCT(($U$3:$U$22=U5)*($S$3:$S$22&gt;S5)))</f>
        <v>0</v>
      </c>
      <c r="X5" cm="1">
        <f t="array" ref="X5">IF(Teams!A4="","",SUMPRODUCT(($U$3:$U$22=U5)*($S$3:$S$22=S5)*($T$3:$T$22&gt;T5)))</f>
        <v>0</v>
      </c>
    </row>
    <row r="6" spans="1:24" x14ac:dyDescent="0.3">
      <c r="A6">
        <f>IF(Teams!A5="","",RANK($B6,$B$3:$B$20,1)+COUNTIF($B$3:$B6,$B6)-1)</f>
        <v>4</v>
      </c>
      <c r="B6">
        <f>IF(Teams!A5="","",V6+W6+X6)</f>
        <v>1</v>
      </c>
      <c r="C6" t="str">
        <f>IF(Teams!A5="","",Teams!A5)</f>
        <v>Team 4</v>
      </c>
      <c r="D6">
        <f>IF(Teams!A5="","",COUNTIFS(Fixtures!$A:$A,Calculations!$C6,Fixtures!$B:$B,"&gt;=0")+COUNTIFS(Fixtures!$E:$E,Calculations!$C6,Fixtures!$D:$D,"&gt;=0"))</f>
        <v>0</v>
      </c>
      <c r="E6" cm="1">
        <f t="array" ref="E6">IF(Teams!A5="","",SUMPRODUCT((Fixtures!$A:$A=Calculations!$C6)*(Fixtures!$B:$B&gt;Fixtures!$D:$D)))</f>
        <v>0</v>
      </c>
      <c r="F6" cm="1">
        <f t="array" ref="F6">IF(Teams!A5="","",SUMPRODUCT((Fixtures!$A:$A=Calculations!$C6)*(Fixtures!$B:$B&lt;Fixtures!$D:$D)))</f>
        <v>0</v>
      </c>
      <c r="G6" cm="1">
        <f t="array" ref="G6">IF(Teams!A5="","",SUMPRODUCT((Fixtures!$A:$A=Calculations!$C6)*(Fixtures!$B:$B=Fixtures!$D:$D)*(Fixtures!$B:$B&lt;&gt;"")))</f>
        <v>0</v>
      </c>
      <c r="H6">
        <f>IF(Teams!A5="","",SUMIFS(Fixtures!$B:$B,Fixtures!$A:$A,Calculations!$C6,Fixtures!$B:$B,"&gt;=0"))</f>
        <v>0</v>
      </c>
      <c r="I6">
        <f>IF(Teams!A5="","",SUMIFS(Fixtures!$D:$D,Fixtures!$A:$A,Calculations!$C6,Fixtures!$D:$D,"&gt;=0"))</f>
        <v>0</v>
      </c>
      <c r="J6">
        <f>IF(Teams!A5="","",H6-I6)</f>
        <v>0</v>
      </c>
      <c r="K6">
        <f>IF(Teams!A5="","",$E6*'Basic data'!$E$2+$G6*'Basic data'!$E$3)</f>
        <v>0</v>
      </c>
      <c r="L6" cm="1">
        <f t="array" ref="L6">IF(Teams!A5="","",SUMPRODUCT((Fixtures!$E:$E=Calculations!$C6)*(Fixtures!$D:$D&gt;Fixtures!$B:$B)))</f>
        <v>0</v>
      </c>
      <c r="M6" cm="1">
        <f t="array" ref="M6">IF(Teams!A5="","",SUMPRODUCT((Fixtures!$E:$E=Calculations!$C6)*(Fixtures!$D:$D&lt;Fixtures!$B:$B)))</f>
        <v>0</v>
      </c>
      <c r="N6" cm="1">
        <f t="array" ref="N6">IF(Teams!A5="","",SUMPRODUCT((Fixtures!$E:$E=Calculations!$C6)*(Fixtures!$D:$D=Fixtures!$B:$B)*(Fixtures!$D:$D&lt;&gt;"")))</f>
        <v>0</v>
      </c>
      <c r="O6">
        <f>IF(Teams!A5="","",SUMIFS(Fixtures!$D:$D,Fixtures!$E:$E,Calculations!$C6,Fixtures!$D:$D,"&gt;=0"))</f>
        <v>0</v>
      </c>
      <c r="P6">
        <f>IF(Teams!A5="","",SUMIFS(Fixtures!$B:$B,Fixtures!$E:$E,Calculations!$C6,Fixtures!$B:$B,"&gt;=0"))</f>
        <v>0</v>
      </c>
      <c r="Q6">
        <f>IF(Teams!A5="","",O6-P6)</f>
        <v>0</v>
      </c>
      <c r="R6">
        <f>IF(Teams!A5="","",$L6*'Basic data'!$E$2+$N6*'Basic data'!$E$3)</f>
        <v>0</v>
      </c>
      <c r="S6">
        <f>IF(Teams!A5="","",J6+Q6)</f>
        <v>0</v>
      </c>
      <c r="T6">
        <f>IF(Teams!A5="","",H6+O6)</f>
        <v>0</v>
      </c>
      <c r="U6">
        <f>IF(Teams!A5="","",K6+R6)</f>
        <v>0</v>
      </c>
      <c r="V6">
        <f>IF(Teams!A5="","",RANK(U6,$U$3:$U$22))</f>
        <v>1</v>
      </c>
      <c r="W6" cm="1">
        <f t="array" ref="W6">IF(Teams!A5="","",SUMPRODUCT(($U$3:$U$22=U6)*($S$3:$S$22&gt;S6)))</f>
        <v>0</v>
      </c>
      <c r="X6" cm="1">
        <f t="array" ref="X6">IF(Teams!A5="","",SUMPRODUCT(($U$3:$U$22=U6)*($S$3:$S$22=S6)*($T$3:$T$22&gt;T6)))</f>
        <v>0</v>
      </c>
    </row>
    <row r="7" spans="1:24" x14ac:dyDescent="0.3">
      <c r="A7">
        <f>IF(Teams!A6="","",RANK($B7,$B$3:$B$20,1)+COUNTIF($B$3:$B7,$B7)-1)</f>
        <v>5</v>
      </c>
      <c r="B7">
        <f>IF(Teams!A6="","",V7+W7+X7)</f>
        <v>1</v>
      </c>
      <c r="C7" t="str">
        <f>IF(Teams!A6="","",Teams!A6)</f>
        <v>Team 5</v>
      </c>
      <c r="D7">
        <f>IF(Teams!A6="","",COUNTIFS(Fixtures!$A:$A,Calculations!$C7,Fixtures!$B:$B,"&gt;=0")+COUNTIFS(Fixtures!$E:$E,Calculations!$C7,Fixtures!$D:$D,"&gt;=0"))</f>
        <v>0</v>
      </c>
      <c r="E7" cm="1">
        <f t="array" ref="E7">IF(Teams!A6="","",SUMPRODUCT((Fixtures!$A:$A=Calculations!$C7)*(Fixtures!$B:$B&gt;Fixtures!$D:$D)))</f>
        <v>0</v>
      </c>
      <c r="F7" cm="1">
        <f t="array" ref="F7">IF(Teams!A6="","",SUMPRODUCT((Fixtures!$A:$A=Calculations!$C7)*(Fixtures!$B:$B&lt;Fixtures!$D:$D)))</f>
        <v>0</v>
      </c>
      <c r="G7" cm="1">
        <f t="array" ref="G7">IF(Teams!A6="","",SUMPRODUCT((Fixtures!$A:$A=Calculations!$C7)*(Fixtures!$B:$B=Fixtures!$D:$D)*(Fixtures!$B:$B&lt;&gt;"")))</f>
        <v>0</v>
      </c>
      <c r="H7">
        <f>IF(Teams!A6="","",SUMIFS(Fixtures!$B:$B,Fixtures!$A:$A,Calculations!$C7,Fixtures!$B:$B,"&gt;=0"))</f>
        <v>0</v>
      </c>
      <c r="I7">
        <f>IF(Teams!A6="","",SUMIFS(Fixtures!$D:$D,Fixtures!$A:$A,Calculations!$C7,Fixtures!$D:$D,"&gt;=0"))</f>
        <v>0</v>
      </c>
      <c r="J7">
        <f>IF(Teams!A6="","",H7-I7)</f>
        <v>0</v>
      </c>
      <c r="K7">
        <f>IF(Teams!A6="","",$E7*'Basic data'!$E$2+$G7*'Basic data'!$E$3)</f>
        <v>0</v>
      </c>
      <c r="L7" cm="1">
        <f t="array" ref="L7">IF(Teams!A6="","",SUMPRODUCT((Fixtures!$E:$E=Calculations!$C7)*(Fixtures!$D:$D&gt;Fixtures!$B:$B)))</f>
        <v>0</v>
      </c>
      <c r="M7" cm="1">
        <f t="array" ref="M7">IF(Teams!A6="","",SUMPRODUCT((Fixtures!$E:$E=Calculations!$C7)*(Fixtures!$D:$D&lt;Fixtures!$B:$B)))</f>
        <v>0</v>
      </c>
      <c r="N7" cm="1">
        <f t="array" ref="N7">IF(Teams!A6="","",SUMPRODUCT((Fixtures!$E:$E=Calculations!$C7)*(Fixtures!$D:$D=Fixtures!$B:$B)*(Fixtures!$D:$D&lt;&gt;"")))</f>
        <v>0</v>
      </c>
      <c r="O7">
        <f>IF(Teams!A6="","",SUMIFS(Fixtures!$D:$D,Fixtures!$E:$E,Calculations!$C7,Fixtures!$D:$D,"&gt;=0"))</f>
        <v>0</v>
      </c>
      <c r="P7">
        <f>IF(Teams!A6="","",SUMIFS(Fixtures!$B:$B,Fixtures!$E:$E,Calculations!$C7,Fixtures!$B:$B,"&gt;=0"))</f>
        <v>0</v>
      </c>
      <c r="Q7">
        <f>IF(Teams!A6="","",O7-P7)</f>
        <v>0</v>
      </c>
      <c r="R7">
        <f>IF(Teams!A6="","",$L7*'Basic data'!$E$2+$N7*'Basic data'!$E$3)</f>
        <v>0</v>
      </c>
      <c r="S7">
        <f>IF(Teams!A6="","",J7+Q7)</f>
        <v>0</v>
      </c>
      <c r="T7">
        <f>IF(Teams!A6="","",H7+O7)</f>
        <v>0</v>
      </c>
      <c r="U7">
        <f>IF(Teams!A6="","",K7+R7)</f>
        <v>0</v>
      </c>
      <c r="V7">
        <f>IF(Teams!A6="","",RANK(U7,$U$3:$U$22))</f>
        <v>1</v>
      </c>
      <c r="W7" cm="1">
        <f t="array" ref="W7">IF(Teams!A6="","",SUMPRODUCT(($U$3:$U$22=U7)*($S$3:$S$22&gt;S7)))</f>
        <v>0</v>
      </c>
      <c r="X7" cm="1">
        <f t="array" ref="X7">IF(Teams!A6="","",SUMPRODUCT(($U$3:$U$22=U7)*($S$3:$S$22=S7)*($T$3:$T$22&gt;T7)))</f>
        <v>0</v>
      </c>
    </row>
    <row r="8" spans="1:24" x14ac:dyDescent="0.3">
      <c r="A8">
        <f>IF(Teams!A7="","",RANK($B8,$B$3:$B$20,1)+COUNTIF($B$3:$B8,$B8)-1)</f>
        <v>6</v>
      </c>
      <c r="B8">
        <f>IF(Teams!A7="","",V8+W8+X8)</f>
        <v>1</v>
      </c>
      <c r="C8" t="str">
        <f>IF(Teams!A7="","",Teams!A7)</f>
        <v>Team 6</v>
      </c>
      <c r="D8">
        <f>IF(Teams!A7="","",COUNTIFS(Fixtures!$A:$A,Calculations!$C8,Fixtures!$B:$B,"&gt;=0")+COUNTIFS(Fixtures!$E:$E,Calculations!$C8,Fixtures!$D:$D,"&gt;=0"))</f>
        <v>0</v>
      </c>
      <c r="E8" cm="1">
        <f t="array" ref="E8">IF(Teams!A7="","",SUMPRODUCT((Fixtures!$A:$A=Calculations!$C8)*(Fixtures!$B:$B&gt;Fixtures!$D:$D)))</f>
        <v>0</v>
      </c>
      <c r="F8" cm="1">
        <f t="array" ref="F8">IF(Teams!A7="","",SUMPRODUCT((Fixtures!$A:$A=Calculations!$C8)*(Fixtures!$B:$B&lt;Fixtures!$D:$D)))</f>
        <v>0</v>
      </c>
      <c r="G8" cm="1">
        <f t="array" ref="G8">IF(Teams!A7="","",SUMPRODUCT((Fixtures!$A:$A=Calculations!$C8)*(Fixtures!$B:$B=Fixtures!$D:$D)*(Fixtures!$B:$B&lt;&gt;"")))</f>
        <v>0</v>
      </c>
      <c r="H8">
        <f>IF(Teams!A7="","",SUMIFS(Fixtures!$B:$B,Fixtures!$A:$A,Calculations!$C8,Fixtures!$B:$B,"&gt;=0"))</f>
        <v>0</v>
      </c>
      <c r="I8">
        <f>IF(Teams!A7="","",SUMIFS(Fixtures!$D:$D,Fixtures!$A:$A,Calculations!$C8,Fixtures!$D:$D,"&gt;=0"))</f>
        <v>0</v>
      </c>
      <c r="J8">
        <f>IF(Teams!A7="","",H8-I8)</f>
        <v>0</v>
      </c>
      <c r="K8">
        <f>IF(Teams!A7="","",$E8*'Basic data'!$E$2+$G8*'Basic data'!$E$3)</f>
        <v>0</v>
      </c>
      <c r="L8" cm="1">
        <f t="array" ref="L8">IF(Teams!A7="","",SUMPRODUCT((Fixtures!$E:$E=Calculations!$C8)*(Fixtures!$D:$D&gt;Fixtures!$B:$B)))</f>
        <v>0</v>
      </c>
      <c r="M8" cm="1">
        <f t="array" ref="M8">IF(Teams!A7="","",SUMPRODUCT((Fixtures!$E:$E=Calculations!$C8)*(Fixtures!$D:$D&lt;Fixtures!$B:$B)))</f>
        <v>0</v>
      </c>
      <c r="N8" cm="1">
        <f t="array" ref="N8">IF(Teams!A7="","",SUMPRODUCT((Fixtures!$E:$E=Calculations!$C8)*(Fixtures!$D:$D=Fixtures!$B:$B)*(Fixtures!$D:$D&lt;&gt;"")))</f>
        <v>0</v>
      </c>
      <c r="O8">
        <f>IF(Teams!A7="","",SUMIFS(Fixtures!$D:$D,Fixtures!$E:$E,Calculations!$C8,Fixtures!$D:$D,"&gt;=0"))</f>
        <v>0</v>
      </c>
      <c r="P8">
        <f>IF(Teams!A7="","",SUMIFS(Fixtures!$B:$B,Fixtures!$E:$E,Calculations!$C8,Fixtures!$B:$B,"&gt;=0"))</f>
        <v>0</v>
      </c>
      <c r="Q8">
        <f>IF(Teams!A7="","",O8-P8)</f>
        <v>0</v>
      </c>
      <c r="R8">
        <f>IF(Teams!A7="","",$L8*'Basic data'!$E$2+$N8*'Basic data'!$E$3)</f>
        <v>0</v>
      </c>
      <c r="S8">
        <f>IF(Teams!A7="","",J8+Q8)</f>
        <v>0</v>
      </c>
      <c r="T8">
        <f>IF(Teams!A7="","",H8+O8)</f>
        <v>0</v>
      </c>
      <c r="U8">
        <f>IF(Teams!A7="","",K8+R8)</f>
        <v>0</v>
      </c>
      <c r="V8">
        <f>IF(Teams!A7="","",RANK(U8,$U$3:$U$22))</f>
        <v>1</v>
      </c>
      <c r="W8" cm="1">
        <f t="array" ref="W8">IF(Teams!A7="","",SUMPRODUCT(($U$3:$U$22=U8)*($S$3:$S$22&gt;S8)))</f>
        <v>0</v>
      </c>
      <c r="X8" cm="1">
        <f t="array" ref="X8">IF(Teams!A7="","",SUMPRODUCT(($U$3:$U$22=U8)*($S$3:$S$22=S8)*($T$3:$T$22&gt;T8)))</f>
        <v>0</v>
      </c>
    </row>
    <row r="9" spans="1:24" x14ac:dyDescent="0.3">
      <c r="A9">
        <f>IF(Teams!A8="","",RANK($B9,$B$3:$B$20,1)+COUNTIF($B$3:$B9,$B9)-1)</f>
        <v>7</v>
      </c>
      <c r="B9">
        <f>IF(Teams!A8="","",V9+W9+X9)</f>
        <v>1</v>
      </c>
      <c r="C9" t="str">
        <f>IF(Teams!A8="","",Teams!A8)</f>
        <v>Team 7</v>
      </c>
      <c r="D9">
        <f>IF(Teams!A8="","",COUNTIFS(Fixtures!$A:$A,Calculations!$C9,Fixtures!$B:$B,"&gt;=0")+COUNTIFS(Fixtures!$E:$E,Calculations!$C9,Fixtures!$D:$D,"&gt;=0"))</f>
        <v>0</v>
      </c>
      <c r="E9" cm="1">
        <f t="array" ref="E9">IF(Teams!A8="","",SUMPRODUCT((Fixtures!$A:$A=Calculations!$C9)*(Fixtures!$B:$B&gt;Fixtures!$D:$D)))</f>
        <v>0</v>
      </c>
      <c r="F9" cm="1">
        <f t="array" ref="F9">IF(Teams!A8="","",SUMPRODUCT((Fixtures!$A:$A=Calculations!$C9)*(Fixtures!$B:$B&lt;Fixtures!$D:$D)))</f>
        <v>0</v>
      </c>
      <c r="G9" cm="1">
        <f t="array" ref="G9">IF(Teams!A8="","",SUMPRODUCT((Fixtures!$A:$A=Calculations!$C9)*(Fixtures!$B:$B=Fixtures!$D:$D)*(Fixtures!$B:$B&lt;&gt;"")))</f>
        <v>0</v>
      </c>
      <c r="H9">
        <f>IF(Teams!A8="","",SUMIFS(Fixtures!$B:$B,Fixtures!$A:$A,Calculations!$C9,Fixtures!$B:$B,"&gt;=0"))</f>
        <v>0</v>
      </c>
      <c r="I9">
        <f>IF(Teams!A8="","",SUMIFS(Fixtures!$D:$D,Fixtures!$A:$A,Calculations!$C9,Fixtures!$D:$D,"&gt;=0"))</f>
        <v>0</v>
      </c>
      <c r="J9">
        <f>IF(Teams!A8="","",H9-I9)</f>
        <v>0</v>
      </c>
      <c r="K9">
        <f>IF(Teams!A8="","",$E9*'Basic data'!$E$2+$G9*'Basic data'!$E$3)</f>
        <v>0</v>
      </c>
      <c r="L9" cm="1">
        <f t="array" ref="L9">IF(Teams!A8="","",SUMPRODUCT((Fixtures!$E:$E=Calculations!$C9)*(Fixtures!$D:$D&gt;Fixtures!$B:$B)))</f>
        <v>0</v>
      </c>
      <c r="M9" cm="1">
        <f t="array" ref="M9">IF(Teams!A8="","",SUMPRODUCT((Fixtures!$E:$E=Calculations!$C9)*(Fixtures!$D:$D&lt;Fixtures!$B:$B)))</f>
        <v>0</v>
      </c>
      <c r="N9" cm="1">
        <f t="array" ref="N9">IF(Teams!A8="","",SUMPRODUCT((Fixtures!$E:$E=Calculations!$C9)*(Fixtures!$D:$D=Fixtures!$B:$B)*(Fixtures!$D:$D&lt;&gt;"")))</f>
        <v>0</v>
      </c>
      <c r="O9">
        <f>IF(Teams!A8="","",SUMIFS(Fixtures!$D:$D,Fixtures!$E:$E,Calculations!$C9,Fixtures!$D:$D,"&gt;=0"))</f>
        <v>0</v>
      </c>
      <c r="P9">
        <f>IF(Teams!A8="","",SUMIFS(Fixtures!$B:$B,Fixtures!$E:$E,Calculations!$C9,Fixtures!$B:$B,"&gt;=0"))</f>
        <v>0</v>
      </c>
      <c r="Q9">
        <f>IF(Teams!A8="","",O9-P9)</f>
        <v>0</v>
      </c>
      <c r="R9">
        <f>IF(Teams!A8="","",$L9*'Basic data'!$E$2+$N9*'Basic data'!$E$3)</f>
        <v>0</v>
      </c>
      <c r="S9">
        <f>IF(Teams!A8="","",J9+Q9)</f>
        <v>0</v>
      </c>
      <c r="T9">
        <f>IF(Teams!A8="","",H9+O9)</f>
        <v>0</v>
      </c>
      <c r="U9">
        <f>IF(Teams!A8="","",K9+R9)</f>
        <v>0</v>
      </c>
      <c r="V9">
        <f>IF(Teams!A8="","",RANK(U9,$U$3:$U$22))</f>
        <v>1</v>
      </c>
      <c r="W9" cm="1">
        <f t="array" ref="W9">IF(Teams!A8="","",SUMPRODUCT(($U$3:$U$22=U9)*($S$3:$S$22&gt;S9)))</f>
        <v>0</v>
      </c>
      <c r="X9" cm="1">
        <f t="array" ref="X9">IF(Teams!A8="","",SUMPRODUCT(($U$3:$U$22=U9)*($S$3:$S$22=S9)*($T$3:$T$22&gt;T9)))</f>
        <v>0</v>
      </c>
    </row>
    <row r="10" spans="1:24" x14ac:dyDescent="0.3">
      <c r="A10">
        <f>IF(Teams!A9="","",RANK($B10,$B$3:$B$20,1)+COUNTIF($B$3:$B10,$B10)-1)</f>
        <v>8</v>
      </c>
      <c r="B10">
        <f>IF(Teams!A9="","",V10+W10+X10)</f>
        <v>1</v>
      </c>
      <c r="C10" t="str">
        <f>IF(Teams!A9="","",Teams!A9)</f>
        <v>Team 8</v>
      </c>
      <c r="D10">
        <f>IF(Teams!A9="","",COUNTIFS(Fixtures!$A:$A,Calculations!$C10,Fixtures!$B:$B,"&gt;=0")+COUNTIFS(Fixtures!$E:$E,Calculations!$C10,Fixtures!$D:$D,"&gt;=0"))</f>
        <v>0</v>
      </c>
      <c r="E10" cm="1">
        <f t="array" ref="E10">IF(Teams!A9="","",SUMPRODUCT((Fixtures!$A:$A=Calculations!$C10)*(Fixtures!$B:$B&gt;Fixtures!$D:$D)))</f>
        <v>0</v>
      </c>
      <c r="F10" cm="1">
        <f t="array" ref="F10">IF(Teams!A9="","",SUMPRODUCT((Fixtures!$A:$A=Calculations!$C10)*(Fixtures!$B:$B&lt;Fixtures!$D:$D)))</f>
        <v>0</v>
      </c>
      <c r="G10" cm="1">
        <f t="array" ref="G10">IF(Teams!A9="","",SUMPRODUCT((Fixtures!$A:$A=Calculations!$C10)*(Fixtures!$B:$B=Fixtures!$D:$D)*(Fixtures!$B:$B&lt;&gt;"")))</f>
        <v>0</v>
      </c>
      <c r="H10">
        <f>IF(Teams!A9="","",SUMIFS(Fixtures!$B:$B,Fixtures!$A:$A,Calculations!$C10,Fixtures!$B:$B,"&gt;=0"))</f>
        <v>0</v>
      </c>
      <c r="I10">
        <f>IF(Teams!A9="","",SUMIFS(Fixtures!$D:$D,Fixtures!$A:$A,Calculations!$C10,Fixtures!$D:$D,"&gt;=0"))</f>
        <v>0</v>
      </c>
      <c r="J10">
        <f>IF(Teams!A9="","",H10-I10)</f>
        <v>0</v>
      </c>
      <c r="K10">
        <f>IF(Teams!A9="","",$E10*'Basic data'!$E$2+$G10*'Basic data'!$E$3)</f>
        <v>0</v>
      </c>
      <c r="L10" cm="1">
        <f t="array" ref="L10">IF(Teams!A9="","",SUMPRODUCT((Fixtures!$E:$E=Calculations!$C10)*(Fixtures!$D:$D&gt;Fixtures!$B:$B)))</f>
        <v>0</v>
      </c>
      <c r="M10" cm="1">
        <f t="array" ref="M10">IF(Teams!A9="","",SUMPRODUCT((Fixtures!$E:$E=Calculations!$C10)*(Fixtures!$D:$D&lt;Fixtures!$B:$B)))</f>
        <v>0</v>
      </c>
      <c r="N10" cm="1">
        <f t="array" ref="N10">IF(Teams!A9="","",SUMPRODUCT((Fixtures!$E:$E=Calculations!$C10)*(Fixtures!$D:$D=Fixtures!$B:$B)*(Fixtures!$D:$D&lt;&gt;"")))</f>
        <v>0</v>
      </c>
      <c r="O10">
        <f>IF(Teams!A9="","",SUMIFS(Fixtures!$D:$D,Fixtures!$E:$E,Calculations!$C10,Fixtures!$D:$D,"&gt;=0"))</f>
        <v>0</v>
      </c>
      <c r="P10">
        <f>IF(Teams!A9="","",SUMIFS(Fixtures!$B:$B,Fixtures!$E:$E,Calculations!$C10,Fixtures!$B:$B,"&gt;=0"))</f>
        <v>0</v>
      </c>
      <c r="Q10">
        <f>IF(Teams!A9="","",O10-P10)</f>
        <v>0</v>
      </c>
      <c r="R10">
        <f>IF(Teams!A9="","",$L10*'Basic data'!$E$2+$N10*'Basic data'!$E$3)</f>
        <v>0</v>
      </c>
      <c r="S10">
        <f>IF(Teams!A9="","",J10+Q10)</f>
        <v>0</v>
      </c>
      <c r="T10">
        <f>IF(Teams!A9="","",H10+O10)</f>
        <v>0</v>
      </c>
      <c r="U10">
        <f>IF(Teams!A9="","",K10+R10)</f>
        <v>0</v>
      </c>
      <c r="V10">
        <f>IF(Teams!A9="","",RANK(U10,$U$3:$U$22))</f>
        <v>1</v>
      </c>
      <c r="W10" cm="1">
        <f t="array" ref="W10">IF(Teams!A9="","",SUMPRODUCT(($U$3:$U$22=U10)*($S$3:$S$22&gt;S10)))</f>
        <v>0</v>
      </c>
      <c r="X10" cm="1">
        <f t="array" ref="X10">IF(Teams!A9="","",SUMPRODUCT(($U$3:$U$22=U10)*($S$3:$S$22=S10)*($T$3:$T$22&gt;T10)))</f>
        <v>0</v>
      </c>
    </row>
    <row r="11" spans="1:24" x14ac:dyDescent="0.3">
      <c r="A11">
        <f>IF(Teams!A10="","",RANK($B11,$B$3:$B$20,1)+COUNTIF($B$3:$B11,$B11)-1)</f>
        <v>9</v>
      </c>
      <c r="B11">
        <f>IF(Teams!A10="","",V11+W11+X11)</f>
        <v>1</v>
      </c>
      <c r="C11" t="str">
        <f>IF(Teams!A10="","",Teams!A10)</f>
        <v>Team 9</v>
      </c>
      <c r="D11">
        <f>IF(Teams!A10="","",COUNTIFS(Fixtures!$A:$A,Calculations!$C11,Fixtures!$B:$B,"&gt;=0")+COUNTIFS(Fixtures!$E:$E,Calculations!$C11,Fixtures!$D:$D,"&gt;=0"))</f>
        <v>0</v>
      </c>
      <c r="E11" cm="1">
        <f t="array" ref="E11">IF(Teams!A10="","",SUMPRODUCT((Fixtures!$A:$A=Calculations!$C11)*(Fixtures!$B:$B&gt;Fixtures!$D:$D)))</f>
        <v>0</v>
      </c>
      <c r="F11" cm="1">
        <f t="array" ref="F11">IF(Teams!A10="","",SUMPRODUCT((Fixtures!$A:$A=Calculations!$C11)*(Fixtures!$B:$B&lt;Fixtures!$D:$D)))</f>
        <v>0</v>
      </c>
      <c r="G11" cm="1">
        <f t="array" ref="G11">IF(Teams!A10="","",SUMPRODUCT((Fixtures!$A:$A=Calculations!$C11)*(Fixtures!$B:$B=Fixtures!$D:$D)*(Fixtures!$B:$B&lt;&gt;"")))</f>
        <v>0</v>
      </c>
      <c r="H11">
        <f>IF(Teams!A10="","",SUMIFS(Fixtures!$B:$B,Fixtures!$A:$A,Calculations!$C11,Fixtures!$B:$B,"&gt;=0"))</f>
        <v>0</v>
      </c>
      <c r="I11">
        <f>IF(Teams!A10="","",SUMIFS(Fixtures!$D:$D,Fixtures!$A:$A,Calculations!$C11,Fixtures!$D:$D,"&gt;=0"))</f>
        <v>0</v>
      </c>
      <c r="J11">
        <f>IF(Teams!A10="","",H11-I11)</f>
        <v>0</v>
      </c>
      <c r="K11">
        <f>IF(Teams!A10="","",$E11*'Basic data'!$E$2+$G11*'Basic data'!$E$3)</f>
        <v>0</v>
      </c>
      <c r="L11" cm="1">
        <f t="array" ref="L11">IF(Teams!A10="","",SUMPRODUCT((Fixtures!$E:$E=Calculations!$C11)*(Fixtures!$D:$D&gt;Fixtures!$B:$B)))</f>
        <v>0</v>
      </c>
      <c r="M11" cm="1">
        <f t="array" ref="M11">IF(Teams!A10="","",SUMPRODUCT((Fixtures!$E:$E=Calculations!$C11)*(Fixtures!$D:$D&lt;Fixtures!$B:$B)))</f>
        <v>0</v>
      </c>
      <c r="N11" cm="1">
        <f t="array" ref="N11">IF(Teams!A10="","",SUMPRODUCT((Fixtures!$E:$E=Calculations!$C11)*(Fixtures!$D:$D=Fixtures!$B:$B)*(Fixtures!$D:$D&lt;&gt;"")))</f>
        <v>0</v>
      </c>
      <c r="O11">
        <f>IF(Teams!A10="","",SUMIFS(Fixtures!$D:$D,Fixtures!$E:$E,Calculations!$C11,Fixtures!$D:$D,"&gt;=0"))</f>
        <v>0</v>
      </c>
      <c r="P11">
        <f>IF(Teams!A10="","",SUMIFS(Fixtures!$B:$B,Fixtures!$E:$E,Calculations!$C11,Fixtures!$B:$B,"&gt;=0"))</f>
        <v>0</v>
      </c>
      <c r="Q11">
        <f>IF(Teams!A10="","",O11-P11)</f>
        <v>0</v>
      </c>
      <c r="R11">
        <f>IF(Teams!A10="","",$L11*'Basic data'!$E$2+$N11*'Basic data'!$E$3)</f>
        <v>0</v>
      </c>
      <c r="S11">
        <f>IF(Teams!A10="","",J11+Q11)</f>
        <v>0</v>
      </c>
      <c r="T11">
        <f>IF(Teams!A10="","",H11+O11)</f>
        <v>0</v>
      </c>
      <c r="U11">
        <f>IF(Teams!A10="","",K11+R11)</f>
        <v>0</v>
      </c>
      <c r="V11">
        <f>IF(Teams!A10="","",RANK(U11,$U$3:$U$22))</f>
        <v>1</v>
      </c>
      <c r="W11" cm="1">
        <f t="array" ref="W11">IF(Teams!A10="","",SUMPRODUCT(($U$3:$U$22=U11)*($S$3:$S$22&gt;S11)))</f>
        <v>0</v>
      </c>
      <c r="X11" cm="1">
        <f t="array" ref="X11">IF(Teams!A10="","",SUMPRODUCT(($U$3:$U$22=U11)*($S$3:$S$22=S11)*($T$3:$T$22&gt;T11)))</f>
        <v>0</v>
      </c>
    </row>
    <row r="12" spans="1:24" x14ac:dyDescent="0.3">
      <c r="A12">
        <f>IF(Teams!A11="","",RANK($B12,$B$3:$B$20,1)+COUNTIF($B$3:$B12,$B12)-1)</f>
        <v>10</v>
      </c>
      <c r="B12">
        <f>IF(Teams!A11="","",V12+W12+X12)</f>
        <v>1</v>
      </c>
      <c r="C12" t="str">
        <f>IF(Teams!A11="","",Teams!A11)</f>
        <v>Team 10</v>
      </c>
      <c r="D12">
        <f>IF(Teams!A11="","",COUNTIFS(Fixtures!$A:$A,Calculations!$C12,Fixtures!$B:$B,"&gt;=0")+COUNTIFS(Fixtures!$E:$E,Calculations!$C12,Fixtures!$D:$D,"&gt;=0"))</f>
        <v>0</v>
      </c>
      <c r="E12" cm="1">
        <f t="array" ref="E12">IF(Teams!A11="","",SUMPRODUCT((Fixtures!$A:$A=Calculations!$C12)*(Fixtures!$B:$B&gt;Fixtures!$D:$D)))</f>
        <v>0</v>
      </c>
      <c r="F12" cm="1">
        <f t="array" ref="F12">IF(Teams!A11="","",SUMPRODUCT((Fixtures!$A:$A=Calculations!$C12)*(Fixtures!$B:$B&lt;Fixtures!$D:$D)))</f>
        <v>0</v>
      </c>
      <c r="G12" cm="1">
        <f t="array" ref="G12">IF(Teams!A11="","",SUMPRODUCT((Fixtures!$A:$A=Calculations!$C12)*(Fixtures!$B:$B=Fixtures!$D:$D)*(Fixtures!$B:$B&lt;&gt;"")))</f>
        <v>0</v>
      </c>
      <c r="H12">
        <f>IF(Teams!A11="","",SUMIFS(Fixtures!$B:$B,Fixtures!$A:$A,Calculations!$C12,Fixtures!$B:$B,"&gt;=0"))</f>
        <v>0</v>
      </c>
      <c r="I12">
        <f>IF(Teams!A11="","",SUMIFS(Fixtures!$D:$D,Fixtures!$A:$A,Calculations!$C12,Fixtures!$D:$D,"&gt;=0"))</f>
        <v>0</v>
      </c>
      <c r="J12">
        <f>IF(Teams!A11="","",H12-I12)</f>
        <v>0</v>
      </c>
      <c r="K12">
        <f>IF(Teams!A11="","",$E12*'Basic data'!$E$2+$G12*'Basic data'!$E$3)</f>
        <v>0</v>
      </c>
      <c r="L12" cm="1">
        <f t="array" ref="L12">IF(Teams!A11="","",SUMPRODUCT((Fixtures!$E:$E=Calculations!$C12)*(Fixtures!$D:$D&gt;Fixtures!$B:$B)))</f>
        <v>0</v>
      </c>
      <c r="M12" cm="1">
        <f t="array" ref="M12">IF(Teams!A11="","",SUMPRODUCT((Fixtures!$E:$E=Calculations!$C12)*(Fixtures!$D:$D&lt;Fixtures!$B:$B)))</f>
        <v>0</v>
      </c>
      <c r="N12" cm="1">
        <f t="array" ref="N12">IF(Teams!A11="","",SUMPRODUCT((Fixtures!$E:$E=Calculations!$C12)*(Fixtures!$D:$D=Fixtures!$B:$B)*(Fixtures!$D:$D&lt;&gt;"")))</f>
        <v>0</v>
      </c>
      <c r="O12">
        <f>IF(Teams!A11="","",SUMIFS(Fixtures!$D:$D,Fixtures!$E:$E,Calculations!$C12,Fixtures!$D:$D,"&gt;=0"))</f>
        <v>0</v>
      </c>
      <c r="P12">
        <f>IF(Teams!A11="","",SUMIFS(Fixtures!$B:$B,Fixtures!$E:$E,Calculations!$C12,Fixtures!$B:$B,"&gt;=0"))</f>
        <v>0</v>
      </c>
      <c r="Q12">
        <f>IF(Teams!A11="","",O12-P12)</f>
        <v>0</v>
      </c>
      <c r="R12">
        <f>IF(Teams!A11="","",$L12*'Basic data'!$E$2+$N12*'Basic data'!$E$3)</f>
        <v>0</v>
      </c>
      <c r="S12">
        <f>IF(Teams!A11="","",J12+Q12)</f>
        <v>0</v>
      </c>
      <c r="T12">
        <f>IF(Teams!A11="","",H12+O12)</f>
        <v>0</v>
      </c>
      <c r="U12">
        <f>IF(Teams!A11="","",K12+R12)</f>
        <v>0</v>
      </c>
      <c r="V12">
        <f>IF(Teams!A11="","",RANK(U12,$U$3:$U$22))</f>
        <v>1</v>
      </c>
      <c r="W12" cm="1">
        <f t="array" ref="W12">IF(Teams!A11="","",SUMPRODUCT(($U$3:$U$22=U12)*($S$3:$S$22&gt;S12)))</f>
        <v>0</v>
      </c>
      <c r="X12" cm="1">
        <f t="array" ref="X12">IF(Teams!A11="","",SUMPRODUCT(($U$3:$U$22=U12)*($S$3:$S$22=S12)*($T$3:$T$22&gt;T12)))</f>
        <v>0</v>
      </c>
    </row>
    <row r="13" spans="1:24" x14ac:dyDescent="0.3">
      <c r="A13">
        <f>IF(Teams!A12="","",RANK($B13,$B$3:$B$20,1)+COUNTIF($B$3:$B13,$B13)-1)</f>
        <v>11</v>
      </c>
      <c r="B13">
        <f>IF(Teams!A12="","",V13+W13+X13)</f>
        <v>1</v>
      </c>
      <c r="C13" t="str">
        <f>IF(Teams!A12="","",Teams!A12)</f>
        <v>Team 11</v>
      </c>
      <c r="D13">
        <f>IF(Teams!A12="","",COUNTIFS(Fixtures!$A:$A,Calculations!$C13,Fixtures!$B:$B,"&gt;=0")+COUNTIFS(Fixtures!$E:$E,Calculations!$C13,Fixtures!$D:$D,"&gt;=0"))</f>
        <v>0</v>
      </c>
      <c r="E13" cm="1">
        <f t="array" ref="E13">IF(Teams!A12="","",SUMPRODUCT((Fixtures!$A:$A=Calculations!$C13)*(Fixtures!$B:$B&gt;Fixtures!$D:$D)))</f>
        <v>0</v>
      </c>
      <c r="F13" cm="1">
        <f t="array" ref="F13">IF(Teams!A12="","",SUMPRODUCT((Fixtures!$A:$A=Calculations!$C13)*(Fixtures!$B:$B&lt;Fixtures!$D:$D)))</f>
        <v>0</v>
      </c>
      <c r="G13" cm="1">
        <f t="array" ref="G13">IF(Teams!A12="","",SUMPRODUCT((Fixtures!$A:$A=Calculations!$C13)*(Fixtures!$B:$B=Fixtures!$D:$D)*(Fixtures!$B:$B&lt;&gt;"")))</f>
        <v>0</v>
      </c>
      <c r="H13">
        <f>IF(Teams!A12="","",SUMIFS(Fixtures!$B:$B,Fixtures!$A:$A,Calculations!$C13,Fixtures!$B:$B,"&gt;=0"))</f>
        <v>0</v>
      </c>
      <c r="I13">
        <f>IF(Teams!A12="","",SUMIFS(Fixtures!$D:$D,Fixtures!$A:$A,Calculations!$C13,Fixtures!$D:$D,"&gt;=0"))</f>
        <v>0</v>
      </c>
      <c r="J13">
        <f>IF(Teams!A12="","",H13-I13)</f>
        <v>0</v>
      </c>
      <c r="K13">
        <f>IF(Teams!A12="","",$E13*'Basic data'!$E$2+$G13*'Basic data'!$E$3)</f>
        <v>0</v>
      </c>
      <c r="L13" cm="1">
        <f t="array" ref="L13">IF(Teams!A12="","",SUMPRODUCT((Fixtures!$E:$E=Calculations!$C13)*(Fixtures!$D:$D&gt;Fixtures!$B:$B)))</f>
        <v>0</v>
      </c>
      <c r="M13" cm="1">
        <f t="array" ref="M13">IF(Teams!A12="","",SUMPRODUCT((Fixtures!$E:$E=Calculations!$C13)*(Fixtures!$D:$D&lt;Fixtures!$B:$B)))</f>
        <v>0</v>
      </c>
      <c r="N13" cm="1">
        <f t="array" ref="N13">IF(Teams!A12="","",SUMPRODUCT((Fixtures!$E:$E=Calculations!$C13)*(Fixtures!$D:$D=Fixtures!$B:$B)*(Fixtures!$D:$D&lt;&gt;"")))</f>
        <v>0</v>
      </c>
      <c r="O13">
        <f>IF(Teams!A12="","",SUMIFS(Fixtures!$D:$D,Fixtures!$E:$E,Calculations!$C13,Fixtures!$D:$D,"&gt;=0"))</f>
        <v>0</v>
      </c>
      <c r="P13">
        <f>IF(Teams!A12="","",SUMIFS(Fixtures!$B:$B,Fixtures!$E:$E,Calculations!$C13,Fixtures!$B:$B,"&gt;=0"))</f>
        <v>0</v>
      </c>
      <c r="Q13">
        <f>IF(Teams!A12="","",O13-P13)</f>
        <v>0</v>
      </c>
      <c r="R13">
        <f>IF(Teams!A12="","",$L13*'Basic data'!$E$2+$N13*'Basic data'!$E$3)</f>
        <v>0</v>
      </c>
      <c r="S13">
        <f>IF(Teams!A12="","",J13+Q13)</f>
        <v>0</v>
      </c>
      <c r="T13">
        <f>IF(Teams!A12="","",H13+O13)</f>
        <v>0</v>
      </c>
      <c r="U13">
        <f>IF(Teams!A12="","",K13+R13)</f>
        <v>0</v>
      </c>
      <c r="V13">
        <f>IF(Teams!A12="","",RANK(U13,$U$3:$U$22))</f>
        <v>1</v>
      </c>
      <c r="W13" cm="1">
        <f t="array" ref="W13">IF(Teams!A12="","",SUMPRODUCT(($U$3:$U$22=U13)*($S$3:$S$22&gt;S13)))</f>
        <v>0</v>
      </c>
      <c r="X13" cm="1">
        <f t="array" ref="X13">IF(Teams!A12="","",SUMPRODUCT(($U$3:$U$22=U13)*($S$3:$S$22=S13)*($T$3:$T$22&gt;T13)))</f>
        <v>0</v>
      </c>
    </row>
    <row r="14" spans="1:24" x14ac:dyDescent="0.3">
      <c r="A14">
        <f>IF(Teams!A13="","",RANK($B14,$B$3:$B$20,1)+COUNTIF($B$3:$B14,$B14)-1)</f>
        <v>12</v>
      </c>
      <c r="B14">
        <f>IF(Teams!A13="","",V14+W14+X14)</f>
        <v>1</v>
      </c>
      <c r="C14" t="str">
        <f>IF(Teams!A13="","",Teams!A13)</f>
        <v>Team 12</v>
      </c>
      <c r="D14">
        <f>IF(Teams!A13="","",COUNTIFS(Fixtures!$A:$A,Calculations!$C14,Fixtures!$B:$B,"&gt;=0")+COUNTIFS(Fixtures!$E:$E,Calculations!$C14,Fixtures!$D:$D,"&gt;=0"))</f>
        <v>0</v>
      </c>
      <c r="E14" cm="1">
        <f t="array" ref="E14">IF(Teams!A13="","",SUMPRODUCT((Fixtures!$A:$A=Calculations!$C14)*(Fixtures!$B:$B&gt;Fixtures!$D:$D)))</f>
        <v>0</v>
      </c>
      <c r="F14" cm="1">
        <f t="array" ref="F14">IF(Teams!A13="","",SUMPRODUCT((Fixtures!$A:$A=Calculations!$C14)*(Fixtures!$B:$B&lt;Fixtures!$D:$D)))</f>
        <v>0</v>
      </c>
      <c r="G14" cm="1">
        <f t="array" ref="G14">IF(Teams!A13="","",SUMPRODUCT((Fixtures!$A:$A=Calculations!$C14)*(Fixtures!$B:$B=Fixtures!$D:$D)*(Fixtures!$B:$B&lt;&gt;"")))</f>
        <v>0</v>
      </c>
      <c r="H14">
        <f>IF(Teams!A13="","",SUMIFS(Fixtures!$B:$B,Fixtures!$A:$A,Calculations!$C14,Fixtures!$B:$B,"&gt;=0"))</f>
        <v>0</v>
      </c>
      <c r="I14">
        <f>IF(Teams!A13="","",SUMIFS(Fixtures!$D:$D,Fixtures!$A:$A,Calculations!$C14,Fixtures!$D:$D,"&gt;=0"))</f>
        <v>0</v>
      </c>
      <c r="J14">
        <f>IF(Teams!A13="","",H14-I14)</f>
        <v>0</v>
      </c>
      <c r="K14">
        <f>IF(Teams!A13="","",$E14*'Basic data'!$E$2+$G14*'Basic data'!$E$3)</f>
        <v>0</v>
      </c>
      <c r="L14" cm="1">
        <f t="array" ref="L14">IF(Teams!A13="","",SUMPRODUCT((Fixtures!$E:$E=Calculations!$C14)*(Fixtures!$D:$D&gt;Fixtures!$B:$B)))</f>
        <v>0</v>
      </c>
      <c r="M14" cm="1">
        <f t="array" ref="M14">IF(Teams!A13="","",SUMPRODUCT((Fixtures!$E:$E=Calculations!$C14)*(Fixtures!$D:$D&lt;Fixtures!$B:$B)))</f>
        <v>0</v>
      </c>
      <c r="N14" cm="1">
        <f t="array" ref="N14">IF(Teams!A13="","",SUMPRODUCT((Fixtures!$E:$E=Calculations!$C14)*(Fixtures!$D:$D=Fixtures!$B:$B)*(Fixtures!$D:$D&lt;&gt;"")))</f>
        <v>0</v>
      </c>
      <c r="O14">
        <f>IF(Teams!A13="","",SUMIFS(Fixtures!$D:$D,Fixtures!$E:$E,Calculations!$C14,Fixtures!$D:$D,"&gt;=0"))</f>
        <v>0</v>
      </c>
      <c r="P14">
        <f>IF(Teams!A13="","",SUMIFS(Fixtures!$B:$B,Fixtures!$E:$E,Calculations!$C14,Fixtures!$B:$B,"&gt;=0"))</f>
        <v>0</v>
      </c>
      <c r="Q14">
        <f>IF(Teams!A13="","",O14-P14)</f>
        <v>0</v>
      </c>
      <c r="R14">
        <f>IF(Teams!A13="","",$L14*'Basic data'!$E$2+$N14*'Basic data'!$E$3)</f>
        <v>0</v>
      </c>
      <c r="S14">
        <f>IF(Teams!A13="","",J14+Q14)</f>
        <v>0</v>
      </c>
      <c r="T14">
        <f>IF(Teams!A13="","",H14+O14)</f>
        <v>0</v>
      </c>
      <c r="U14">
        <f>IF(Teams!A13="","",K14+R14)</f>
        <v>0</v>
      </c>
      <c r="V14">
        <f>IF(Teams!A13="","",RANK(U14,$U$3:$U$22))</f>
        <v>1</v>
      </c>
      <c r="W14" cm="1">
        <f t="array" ref="W14">IF(Teams!A13="","",SUMPRODUCT(($U$3:$U$22=U14)*($S$3:$S$22&gt;S14)))</f>
        <v>0</v>
      </c>
      <c r="X14" cm="1">
        <f t="array" ref="X14">IF(Teams!A13="","",SUMPRODUCT(($U$3:$U$22=U14)*($S$3:$S$22=S14)*($T$3:$T$22&gt;T14)))</f>
        <v>0</v>
      </c>
    </row>
    <row r="15" spans="1:24" x14ac:dyDescent="0.3">
      <c r="A15">
        <f>IF(Teams!A14="","",RANK($B15,$B$3:$B$20,1)+COUNTIF($B$3:$B15,$B15)-1)</f>
        <v>13</v>
      </c>
      <c r="B15">
        <f>IF(Teams!A14="","",V15+W15+X15)</f>
        <v>1</v>
      </c>
      <c r="C15" t="str">
        <f>IF(Teams!A14="","",Teams!A14)</f>
        <v>Team 13</v>
      </c>
      <c r="D15">
        <f>IF(Teams!A14="","",COUNTIFS(Fixtures!$A:$A,Calculations!$C15,Fixtures!$B:$B,"&gt;=0")+COUNTIFS(Fixtures!$E:$E,Calculations!$C15,Fixtures!$D:$D,"&gt;=0"))</f>
        <v>0</v>
      </c>
      <c r="E15" cm="1">
        <f t="array" ref="E15">IF(Teams!A14="","",SUMPRODUCT((Fixtures!$A:$A=Calculations!$C15)*(Fixtures!$B:$B&gt;Fixtures!$D:$D)))</f>
        <v>0</v>
      </c>
      <c r="F15" cm="1">
        <f t="array" ref="F15">IF(Teams!A14="","",SUMPRODUCT((Fixtures!$A:$A=Calculations!$C15)*(Fixtures!$B:$B&lt;Fixtures!$D:$D)))</f>
        <v>0</v>
      </c>
      <c r="G15" cm="1">
        <f t="array" ref="G15">IF(Teams!A14="","",SUMPRODUCT((Fixtures!$A:$A=Calculations!$C15)*(Fixtures!$B:$B=Fixtures!$D:$D)*(Fixtures!$B:$B&lt;&gt;"")))</f>
        <v>0</v>
      </c>
      <c r="H15">
        <f>IF(Teams!A14="","",SUMIFS(Fixtures!$B:$B,Fixtures!$A:$A,Calculations!$C15,Fixtures!$B:$B,"&gt;=0"))</f>
        <v>0</v>
      </c>
      <c r="I15">
        <f>IF(Teams!A14="","",SUMIFS(Fixtures!$D:$D,Fixtures!$A:$A,Calculations!$C15,Fixtures!$D:$D,"&gt;=0"))</f>
        <v>0</v>
      </c>
      <c r="J15">
        <f>IF(Teams!A14="","",H15-I15)</f>
        <v>0</v>
      </c>
      <c r="K15">
        <f>IF(Teams!A14="","",$E15*'Basic data'!$E$2+$G15*'Basic data'!$E$3)</f>
        <v>0</v>
      </c>
      <c r="L15" cm="1">
        <f t="array" ref="L15">IF(Teams!A14="","",SUMPRODUCT((Fixtures!$E:$E=Calculations!$C15)*(Fixtures!$D:$D&gt;Fixtures!$B:$B)))</f>
        <v>0</v>
      </c>
      <c r="M15" cm="1">
        <f t="array" ref="M15">IF(Teams!A14="","",SUMPRODUCT((Fixtures!$E:$E=Calculations!$C15)*(Fixtures!$D:$D&lt;Fixtures!$B:$B)))</f>
        <v>0</v>
      </c>
      <c r="N15" cm="1">
        <f t="array" ref="N15">IF(Teams!A14="","",SUMPRODUCT((Fixtures!$E:$E=Calculations!$C15)*(Fixtures!$D:$D=Fixtures!$B:$B)*(Fixtures!$D:$D&lt;&gt;"")))</f>
        <v>0</v>
      </c>
      <c r="O15">
        <f>IF(Teams!A14="","",SUMIFS(Fixtures!$D:$D,Fixtures!$E:$E,Calculations!$C15,Fixtures!$D:$D,"&gt;=0"))</f>
        <v>0</v>
      </c>
      <c r="P15">
        <f>IF(Teams!A14="","",SUMIFS(Fixtures!$B:$B,Fixtures!$E:$E,Calculations!$C15,Fixtures!$B:$B,"&gt;=0"))</f>
        <v>0</v>
      </c>
      <c r="Q15">
        <f>IF(Teams!A14="","",O15-P15)</f>
        <v>0</v>
      </c>
      <c r="R15">
        <f>IF(Teams!A14="","",$L15*'Basic data'!$E$2+$N15*'Basic data'!$E$3)</f>
        <v>0</v>
      </c>
      <c r="S15">
        <f>IF(Teams!A14="","",J15+Q15)</f>
        <v>0</v>
      </c>
      <c r="T15">
        <f>IF(Teams!A14="","",H15+O15)</f>
        <v>0</v>
      </c>
      <c r="U15">
        <f>IF(Teams!A14="","",K15+R15)</f>
        <v>0</v>
      </c>
      <c r="V15">
        <f>IF(Teams!A14="","",RANK(U15,$U$3:$U$22))</f>
        <v>1</v>
      </c>
      <c r="W15" cm="1">
        <f t="array" ref="W15">IF(Teams!A14="","",SUMPRODUCT(($U$3:$U$22=U15)*($S$3:$S$22&gt;S15)))</f>
        <v>0</v>
      </c>
      <c r="X15" cm="1">
        <f t="array" ref="X15">IF(Teams!A14="","",SUMPRODUCT(($U$3:$U$22=U15)*($S$3:$S$22=S15)*($T$3:$T$22&gt;T15)))</f>
        <v>0</v>
      </c>
    </row>
    <row r="16" spans="1:24" x14ac:dyDescent="0.3">
      <c r="A16">
        <f>IF(Teams!A15="","",RANK($B16,$B$3:$B$20,1)+COUNTIF($B$3:$B16,$B16)-1)</f>
        <v>14</v>
      </c>
      <c r="B16">
        <f>IF(Teams!A15="","",V16+W16+X16)</f>
        <v>1</v>
      </c>
      <c r="C16" t="str">
        <f>IF(Teams!A15="","",Teams!A15)</f>
        <v>Team 14</v>
      </c>
      <c r="D16">
        <f>IF(Teams!A15="","",COUNTIFS(Fixtures!$A:$A,Calculations!$C16,Fixtures!$B:$B,"&gt;=0")+COUNTIFS(Fixtures!$E:$E,Calculations!$C16,Fixtures!$D:$D,"&gt;=0"))</f>
        <v>0</v>
      </c>
      <c r="E16" cm="1">
        <f t="array" ref="E16">IF(Teams!A15="","",SUMPRODUCT((Fixtures!$A:$A=Calculations!$C16)*(Fixtures!$B:$B&gt;Fixtures!$D:$D)))</f>
        <v>0</v>
      </c>
      <c r="F16" cm="1">
        <f t="array" ref="F16">IF(Teams!A15="","",SUMPRODUCT((Fixtures!$A:$A=Calculations!$C16)*(Fixtures!$B:$B&lt;Fixtures!$D:$D)))</f>
        <v>0</v>
      </c>
      <c r="G16" cm="1">
        <f t="array" ref="G16">IF(Teams!A15="","",SUMPRODUCT((Fixtures!$A:$A=Calculations!$C16)*(Fixtures!$B:$B=Fixtures!$D:$D)*(Fixtures!$B:$B&lt;&gt;"")))</f>
        <v>0</v>
      </c>
      <c r="H16">
        <f>IF(Teams!A15="","",SUMIFS(Fixtures!$B:$B,Fixtures!$A:$A,Calculations!$C16,Fixtures!$B:$B,"&gt;=0"))</f>
        <v>0</v>
      </c>
      <c r="I16">
        <f>IF(Teams!A15="","",SUMIFS(Fixtures!$D:$D,Fixtures!$A:$A,Calculations!$C16,Fixtures!$D:$D,"&gt;=0"))</f>
        <v>0</v>
      </c>
      <c r="J16">
        <f>IF(Teams!A15="","",H16-I16)</f>
        <v>0</v>
      </c>
      <c r="K16">
        <f>IF(Teams!A15="","",$E16*'Basic data'!$E$2+$G16*'Basic data'!$E$3)</f>
        <v>0</v>
      </c>
      <c r="L16" cm="1">
        <f t="array" ref="L16">IF(Teams!A15="","",SUMPRODUCT((Fixtures!$E:$E=Calculations!$C16)*(Fixtures!$D:$D&gt;Fixtures!$B:$B)))</f>
        <v>0</v>
      </c>
      <c r="M16" cm="1">
        <f t="array" ref="M16">IF(Teams!A15="","",SUMPRODUCT((Fixtures!$E:$E=Calculations!$C16)*(Fixtures!$D:$D&lt;Fixtures!$B:$B)))</f>
        <v>0</v>
      </c>
      <c r="N16" cm="1">
        <f t="array" ref="N16">IF(Teams!A15="","",SUMPRODUCT((Fixtures!$E:$E=Calculations!$C16)*(Fixtures!$D:$D=Fixtures!$B:$B)*(Fixtures!$D:$D&lt;&gt;"")))</f>
        <v>0</v>
      </c>
      <c r="O16">
        <f>IF(Teams!A15="","",SUMIFS(Fixtures!$D:$D,Fixtures!$E:$E,Calculations!$C16,Fixtures!$D:$D,"&gt;=0"))</f>
        <v>0</v>
      </c>
      <c r="P16">
        <f>IF(Teams!A15="","",SUMIFS(Fixtures!$B:$B,Fixtures!$E:$E,Calculations!$C16,Fixtures!$B:$B,"&gt;=0"))</f>
        <v>0</v>
      </c>
      <c r="Q16">
        <f>IF(Teams!A15="","",O16-P16)</f>
        <v>0</v>
      </c>
      <c r="R16">
        <f>IF(Teams!A15="","",$L16*'Basic data'!$E$2+$N16*'Basic data'!$E$3)</f>
        <v>0</v>
      </c>
      <c r="S16">
        <f>IF(Teams!A15="","",J16+Q16)</f>
        <v>0</v>
      </c>
      <c r="T16">
        <f>IF(Teams!A15="","",H16+O16)</f>
        <v>0</v>
      </c>
      <c r="U16">
        <f>IF(Teams!A15="","",K16+R16)</f>
        <v>0</v>
      </c>
      <c r="V16">
        <f>IF(Teams!A15="","",RANK(U16,$U$3:$U$22))</f>
        <v>1</v>
      </c>
      <c r="W16" cm="1">
        <f t="array" ref="W16">IF(Teams!A15="","",SUMPRODUCT(($U$3:$U$22=U16)*($S$3:$S$22&gt;S16)))</f>
        <v>0</v>
      </c>
      <c r="X16" cm="1">
        <f t="array" ref="X16">IF(Teams!A15="","",SUMPRODUCT(($U$3:$U$22=U16)*($S$3:$S$22=S16)*($T$3:$T$22&gt;T16)))</f>
        <v>0</v>
      </c>
    </row>
    <row r="17" spans="1:24" x14ac:dyDescent="0.3">
      <c r="A17">
        <f>IF(Teams!A16="","",RANK($B17,$B$3:$B$20,1)+COUNTIF($B$3:$B17,$B17)-1)</f>
        <v>15</v>
      </c>
      <c r="B17">
        <f>IF(Teams!A16="","",V17+W17+X17)</f>
        <v>1</v>
      </c>
      <c r="C17" t="str">
        <f>IF(Teams!A16="","",Teams!A16)</f>
        <v>Team 15</v>
      </c>
      <c r="D17">
        <f>IF(Teams!A16="","",COUNTIFS(Fixtures!$A:$A,Calculations!$C17,Fixtures!$B:$B,"&gt;=0")+COUNTIFS(Fixtures!$E:$E,Calculations!$C17,Fixtures!$D:$D,"&gt;=0"))</f>
        <v>0</v>
      </c>
      <c r="E17" cm="1">
        <f t="array" ref="E17">IF(Teams!A16="","",SUMPRODUCT((Fixtures!$A:$A=Calculations!$C17)*(Fixtures!$B:$B&gt;Fixtures!$D:$D)))</f>
        <v>0</v>
      </c>
      <c r="F17" cm="1">
        <f t="array" ref="F17">IF(Teams!A16="","",SUMPRODUCT((Fixtures!$A:$A=Calculations!$C17)*(Fixtures!$B:$B&lt;Fixtures!$D:$D)))</f>
        <v>0</v>
      </c>
      <c r="G17" cm="1">
        <f t="array" ref="G17">IF(Teams!A16="","",SUMPRODUCT((Fixtures!$A:$A=Calculations!$C17)*(Fixtures!$B:$B=Fixtures!$D:$D)*(Fixtures!$B:$B&lt;&gt;"")))</f>
        <v>0</v>
      </c>
      <c r="H17">
        <f>IF(Teams!A16="","",SUMIFS(Fixtures!$B:$B,Fixtures!$A:$A,Calculations!$C17,Fixtures!$B:$B,"&gt;=0"))</f>
        <v>0</v>
      </c>
      <c r="I17">
        <f>IF(Teams!A16="","",SUMIFS(Fixtures!$D:$D,Fixtures!$A:$A,Calculations!$C17,Fixtures!$D:$D,"&gt;=0"))</f>
        <v>0</v>
      </c>
      <c r="J17">
        <f>IF(Teams!A16="","",H17-I17)</f>
        <v>0</v>
      </c>
      <c r="K17">
        <f>IF(Teams!A16="","",$E17*'Basic data'!$E$2+$G17*'Basic data'!$E$3)</f>
        <v>0</v>
      </c>
      <c r="L17" cm="1">
        <f t="array" ref="L17">IF(Teams!A16="","",SUMPRODUCT((Fixtures!$E:$E=Calculations!$C17)*(Fixtures!$D:$D&gt;Fixtures!$B:$B)))</f>
        <v>0</v>
      </c>
      <c r="M17" cm="1">
        <f t="array" ref="M17">IF(Teams!A16="","",SUMPRODUCT((Fixtures!$E:$E=Calculations!$C17)*(Fixtures!$D:$D&lt;Fixtures!$B:$B)))</f>
        <v>0</v>
      </c>
      <c r="N17" cm="1">
        <f t="array" ref="N17">IF(Teams!A16="","",SUMPRODUCT((Fixtures!$E:$E=Calculations!$C17)*(Fixtures!$D:$D=Fixtures!$B:$B)*(Fixtures!$D:$D&lt;&gt;"")))</f>
        <v>0</v>
      </c>
      <c r="O17">
        <f>IF(Teams!A16="","",SUMIFS(Fixtures!$D:$D,Fixtures!$E:$E,Calculations!$C17,Fixtures!$D:$D,"&gt;=0"))</f>
        <v>0</v>
      </c>
      <c r="P17">
        <f>IF(Teams!A16="","",SUMIFS(Fixtures!$B:$B,Fixtures!$E:$E,Calculations!$C17,Fixtures!$B:$B,"&gt;=0"))</f>
        <v>0</v>
      </c>
      <c r="Q17">
        <f>IF(Teams!A16="","",O17-P17)</f>
        <v>0</v>
      </c>
      <c r="R17">
        <f>IF(Teams!A16="","",$L17*'Basic data'!$E$2+$N17*'Basic data'!$E$3)</f>
        <v>0</v>
      </c>
      <c r="S17">
        <f>IF(Teams!A16="","",J17+Q17)</f>
        <v>0</v>
      </c>
      <c r="T17">
        <f>IF(Teams!A16="","",H17+O17)</f>
        <v>0</v>
      </c>
      <c r="U17">
        <f>IF(Teams!A16="","",K17+R17)</f>
        <v>0</v>
      </c>
      <c r="V17">
        <f>IF(Teams!A16="","",RANK(U17,$U$3:$U$22))</f>
        <v>1</v>
      </c>
      <c r="W17" cm="1">
        <f t="array" ref="W17">IF(Teams!A16="","",SUMPRODUCT(($U$3:$U$22=U17)*($S$3:$S$22&gt;S17)))</f>
        <v>0</v>
      </c>
      <c r="X17" cm="1">
        <f t="array" ref="X17">IF(Teams!A16="","",SUMPRODUCT(($U$3:$U$22=U17)*($S$3:$S$22=S17)*($T$3:$T$22&gt;T17)))</f>
        <v>0</v>
      </c>
    </row>
    <row r="18" spans="1:24" x14ac:dyDescent="0.3">
      <c r="A18">
        <f>IF(Teams!A17="","",RANK($B18,$B$3:$B$20,1)+COUNTIF($B$3:$B18,$B18)-1)</f>
        <v>16</v>
      </c>
      <c r="B18">
        <f>IF(Teams!A17="","",V18+W18+X18)</f>
        <v>1</v>
      </c>
      <c r="C18" t="str">
        <f>IF(Teams!A17="","",Teams!A17)</f>
        <v>Team 16</v>
      </c>
      <c r="D18">
        <f>IF(Teams!A17="","",COUNTIFS(Fixtures!$A:$A,Calculations!$C18,Fixtures!$B:$B,"&gt;=0")+COUNTIFS(Fixtures!$E:$E,Calculations!$C18,Fixtures!$D:$D,"&gt;=0"))</f>
        <v>0</v>
      </c>
      <c r="E18" cm="1">
        <f t="array" ref="E18">IF(Teams!A17="","",SUMPRODUCT((Fixtures!$A:$A=Calculations!$C18)*(Fixtures!$B:$B&gt;Fixtures!$D:$D)))</f>
        <v>0</v>
      </c>
      <c r="F18" cm="1">
        <f t="array" ref="F18">IF(Teams!A17="","",SUMPRODUCT((Fixtures!$A:$A=Calculations!$C18)*(Fixtures!$B:$B&lt;Fixtures!$D:$D)))</f>
        <v>0</v>
      </c>
      <c r="G18" cm="1">
        <f t="array" ref="G18">IF(Teams!A17="","",SUMPRODUCT((Fixtures!$A:$A=Calculations!$C18)*(Fixtures!$B:$B=Fixtures!$D:$D)*(Fixtures!$B:$B&lt;&gt;"")))</f>
        <v>0</v>
      </c>
      <c r="H18">
        <f>IF(Teams!A17="","",SUMIFS(Fixtures!$B:$B,Fixtures!$A:$A,Calculations!$C18,Fixtures!$B:$B,"&gt;=0"))</f>
        <v>0</v>
      </c>
      <c r="I18">
        <f>IF(Teams!A17="","",SUMIFS(Fixtures!$D:$D,Fixtures!$A:$A,Calculations!$C18,Fixtures!$D:$D,"&gt;=0"))</f>
        <v>0</v>
      </c>
      <c r="J18">
        <f>IF(Teams!A17="","",H18-I18)</f>
        <v>0</v>
      </c>
      <c r="K18">
        <f>IF(Teams!A17="","",$E18*'Basic data'!$E$2+$G18*'Basic data'!$E$3)</f>
        <v>0</v>
      </c>
      <c r="L18" cm="1">
        <f t="array" ref="L18">IF(Teams!A17="","",SUMPRODUCT((Fixtures!$E:$E=Calculations!$C18)*(Fixtures!$D:$D&gt;Fixtures!$B:$B)))</f>
        <v>0</v>
      </c>
      <c r="M18" cm="1">
        <f t="array" ref="M18">IF(Teams!A17="","",SUMPRODUCT((Fixtures!$E:$E=Calculations!$C18)*(Fixtures!$D:$D&lt;Fixtures!$B:$B)))</f>
        <v>0</v>
      </c>
      <c r="N18" cm="1">
        <f t="array" ref="N18">IF(Teams!A17="","",SUMPRODUCT((Fixtures!$E:$E=Calculations!$C18)*(Fixtures!$D:$D=Fixtures!$B:$B)*(Fixtures!$D:$D&lt;&gt;"")))</f>
        <v>0</v>
      </c>
      <c r="O18">
        <f>IF(Teams!A17="","",SUMIFS(Fixtures!$D:$D,Fixtures!$E:$E,Calculations!$C18,Fixtures!$D:$D,"&gt;=0"))</f>
        <v>0</v>
      </c>
      <c r="P18">
        <f>IF(Teams!A17="","",SUMIFS(Fixtures!$B:$B,Fixtures!$E:$E,Calculations!$C18,Fixtures!$B:$B,"&gt;=0"))</f>
        <v>0</v>
      </c>
      <c r="Q18">
        <f>IF(Teams!A17="","",O18-P18)</f>
        <v>0</v>
      </c>
      <c r="R18">
        <f>IF(Teams!A17="","",$L18*'Basic data'!$E$2+$N18*'Basic data'!$E$3)</f>
        <v>0</v>
      </c>
      <c r="S18">
        <f>IF(Teams!A17="","",J18+Q18)</f>
        <v>0</v>
      </c>
      <c r="T18">
        <f>IF(Teams!A17="","",H18+O18)</f>
        <v>0</v>
      </c>
      <c r="U18">
        <f>IF(Teams!A17="","",K18+R18)</f>
        <v>0</v>
      </c>
      <c r="V18">
        <f>IF(Teams!A17="","",RANK(U18,$U$3:$U$22))</f>
        <v>1</v>
      </c>
      <c r="W18" cm="1">
        <f t="array" ref="W18">IF(Teams!A17="","",SUMPRODUCT(($U$3:$U$22=U18)*($S$3:$S$22&gt;S18)))</f>
        <v>0</v>
      </c>
      <c r="X18" cm="1">
        <f t="array" ref="X18">IF(Teams!A17="","",SUMPRODUCT(($U$3:$U$22=U18)*($S$3:$S$22=S18)*($T$3:$T$22&gt;T18)))</f>
        <v>0</v>
      </c>
    </row>
    <row r="19" spans="1:24" x14ac:dyDescent="0.3">
      <c r="A19">
        <f>IF(Teams!A18="","",RANK($B19,$B$3:$B$20,1)+COUNTIF($B$3:$B19,$B19)-1)</f>
        <v>17</v>
      </c>
      <c r="B19">
        <f>IF(Teams!A18="","",V19+W19+X19)</f>
        <v>1</v>
      </c>
      <c r="C19" t="str">
        <f>IF(Teams!A18="","",Teams!A18)</f>
        <v>Team 17</v>
      </c>
      <c r="D19">
        <f>IF(Teams!A18="","",COUNTIFS(Fixtures!$A:$A,Calculations!$C19,Fixtures!$B:$B,"&gt;=0")+COUNTIFS(Fixtures!$E:$E,Calculations!$C19,Fixtures!$D:$D,"&gt;=0"))</f>
        <v>0</v>
      </c>
      <c r="E19" cm="1">
        <f t="array" ref="E19">IF(Teams!A18="","",SUMPRODUCT((Fixtures!$A:$A=Calculations!$C19)*(Fixtures!$B:$B&gt;Fixtures!$D:$D)))</f>
        <v>0</v>
      </c>
      <c r="F19" cm="1">
        <f t="array" ref="F19">IF(Teams!A18="","",SUMPRODUCT((Fixtures!$A:$A=Calculations!$C19)*(Fixtures!$B:$B&lt;Fixtures!$D:$D)))</f>
        <v>0</v>
      </c>
      <c r="G19" cm="1">
        <f t="array" ref="G19">IF(Teams!A18="","",SUMPRODUCT((Fixtures!$A:$A=Calculations!$C19)*(Fixtures!$B:$B=Fixtures!$D:$D)*(Fixtures!$B:$B&lt;&gt;"")))</f>
        <v>0</v>
      </c>
      <c r="H19">
        <f>IF(Teams!A18="","",SUMIFS(Fixtures!$B:$B,Fixtures!$A:$A,Calculations!$C19,Fixtures!$B:$B,"&gt;=0"))</f>
        <v>0</v>
      </c>
      <c r="I19">
        <f>IF(Teams!A18="","",SUMIFS(Fixtures!$D:$D,Fixtures!$A:$A,Calculations!$C19,Fixtures!$D:$D,"&gt;=0"))</f>
        <v>0</v>
      </c>
      <c r="J19">
        <f>IF(Teams!A18="","",H19-I19)</f>
        <v>0</v>
      </c>
      <c r="K19">
        <f>IF(Teams!A18="","",$E19*'Basic data'!$E$2+$G19*'Basic data'!$E$3)</f>
        <v>0</v>
      </c>
      <c r="L19" cm="1">
        <f t="array" ref="L19">IF(Teams!A18="","",SUMPRODUCT((Fixtures!$E:$E=Calculations!$C19)*(Fixtures!$D:$D&gt;Fixtures!$B:$B)))</f>
        <v>0</v>
      </c>
      <c r="M19" cm="1">
        <f t="array" ref="M19">IF(Teams!A18="","",SUMPRODUCT((Fixtures!$E:$E=Calculations!$C19)*(Fixtures!$D:$D&lt;Fixtures!$B:$B)))</f>
        <v>0</v>
      </c>
      <c r="N19" cm="1">
        <f t="array" ref="N19">IF(Teams!A18="","",SUMPRODUCT((Fixtures!$E:$E=Calculations!$C19)*(Fixtures!$D:$D=Fixtures!$B:$B)*(Fixtures!$D:$D&lt;&gt;"")))</f>
        <v>0</v>
      </c>
      <c r="O19">
        <f>IF(Teams!A18="","",SUMIFS(Fixtures!$D:$D,Fixtures!$E:$E,Calculations!$C19,Fixtures!$D:$D,"&gt;=0"))</f>
        <v>0</v>
      </c>
      <c r="P19">
        <f>IF(Teams!A18="","",SUMIFS(Fixtures!$B:$B,Fixtures!$E:$E,Calculations!$C19,Fixtures!$B:$B,"&gt;=0"))</f>
        <v>0</v>
      </c>
      <c r="Q19">
        <f>IF(Teams!A18="","",O19-P19)</f>
        <v>0</v>
      </c>
      <c r="R19">
        <f>IF(Teams!A18="","",$L19*'Basic data'!$E$2+$N19*'Basic data'!$E$3)</f>
        <v>0</v>
      </c>
      <c r="S19">
        <f>IF(Teams!A18="","",J19+Q19)</f>
        <v>0</v>
      </c>
      <c r="T19">
        <f>IF(Teams!A18="","",H19+O19)</f>
        <v>0</v>
      </c>
      <c r="U19">
        <f>IF(Teams!A18="","",K19+R19)</f>
        <v>0</v>
      </c>
      <c r="V19">
        <f>IF(Teams!A18="","",RANK(U19,$U$3:$U$22))</f>
        <v>1</v>
      </c>
      <c r="W19" cm="1">
        <f t="array" ref="W19">IF(Teams!A18="","",SUMPRODUCT(($U$3:$U$22=U19)*($S$3:$S$22&gt;S19)))</f>
        <v>0</v>
      </c>
      <c r="X19" cm="1">
        <f t="array" ref="X19">IF(Teams!A18="","",SUMPRODUCT(($U$3:$U$22=U19)*($S$3:$S$22=S19)*($T$3:$T$22&gt;T19)))</f>
        <v>0</v>
      </c>
    </row>
    <row r="20" spans="1:24" x14ac:dyDescent="0.3">
      <c r="A20">
        <f>IF(Teams!A19="","",RANK($B20,$B$3:$B$20,1)+COUNTIF($B$3:$B20,$B20)-1)</f>
        <v>18</v>
      </c>
      <c r="B20">
        <f>IF(Teams!A19="","",V20+W20+X20)</f>
        <v>1</v>
      </c>
      <c r="C20" t="str">
        <f>IF(Teams!A19="","",Teams!A19)</f>
        <v>Team 18</v>
      </c>
      <c r="D20">
        <f>IF(Teams!A19="","",COUNTIFS(Fixtures!$A:$A,Calculations!$C20,Fixtures!$B:$B,"&gt;=0")+COUNTIFS(Fixtures!$E:$E,Calculations!$C20,Fixtures!$D:$D,"&gt;=0"))</f>
        <v>0</v>
      </c>
      <c r="E20" cm="1">
        <f t="array" ref="E20">IF(Teams!A19="","",SUMPRODUCT((Fixtures!$A:$A=Calculations!$C20)*(Fixtures!$B:$B&gt;Fixtures!$D:$D)))</f>
        <v>0</v>
      </c>
      <c r="F20" cm="1">
        <f t="array" ref="F20">IF(Teams!A19="","",SUMPRODUCT((Fixtures!$A:$A=Calculations!$C20)*(Fixtures!$B:$B&lt;Fixtures!$D:$D)))</f>
        <v>0</v>
      </c>
      <c r="G20" cm="1">
        <f t="array" ref="G20">IF(Teams!A19="","",SUMPRODUCT((Fixtures!$A:$A=Calculations!$C20)*(Fixtures!$B:$B=Fixtures!$D:$D)*(Fixtures!$B:$B&lt;&gt;"")))</f>
        <v>0</v>
      </c>
      <c r="H20">
        <f>IF(Teams!A19="","",SUMIFS(Fixtures!$B:$B,Fixtures!$A:$A,Calculations!$C20,Fixtures!$B:$B,"&gt;=0"))</f>
        <v>0</v>
      </c>
      <c r="I20">
        <f>IF(Teams!A19="","",SUMIFS(Fixtures!$D:$D,Fixtures!$A:$A,Calculations!$C20,Fixtures!$D:$D,"&gt;=0"))</f>
        <v>0</v>
      </c>
      <c r="J20">
        <f>IF(Teams!A19="","",H20-I20)</f>
        <v>0</v>
      </c>
      <c r="K20">
        <f>IF(Teams!A19="","",$E20*'Basic data'!$E$2+$G20*'Basic data'!$E$3)</f>
        <v>0</v>
      </c>
      <c r="L20" cm="1">
        <f t="array" ref="L20">IF(Teams!A19="","",SUMPRODUCT((Fixtures!$E:$E=Calculations!$C20)*(Fixtures!$D:$D&gt;Fixtures!$B:$B)))</f>
        <v>0</v>
      </c>
      <c r="M20" cm="1">
        <f t="array" ref="M20">IF(Teams!A19="","",SUMPRODUCT((Fixtures!$E:$E=Calculations!$C20)*(Fixtures!$D:$D&lt;Fixtures!$B:$B)))</f>
        <v>0</v>
      </c>
      <c r="N20" cm="1">
        <f t="array" ref="N20">IF(Teams!A19="","",SUMPRODUCT((Fixtures!$E:$E=Calculations!$C20)*(Fixtures!$D:$D=Fixtures!$B:$B)*(Fixtures!$D:$D&lt;&gt;"")))</f>
        <v>0</v>
      </c>
      <c r="O20">
        <f>IF(Teams!A19="","",SUMIFS(Fixtures!$D:$D,Fixtures!$E:$E,Calculations!$C20,Fixtures!$D:$D,"&gt;=0"))</f>
        <v>0</v>
      </c>
      <c r="P20">
        <f>IF(Teams!A19="","",SUMIFS(Fixtures!$B:$B,Fixtures!$E:$E,Calculations!$C20,Fixtures!$B:$B,"&gt;=0"))</f>
        <v>0</v>
      </c>
      <c r="Q20">
        <f>IF(Teams!A19="","",O20-P20)</f>
        <v>0</v>
      </c>
      <c r="R20">
        <f>IF(Teams!A19="","",$L20*'Basic data'!$E$2+$N20*'Basic data'!$E$3)</f>
        <v>0</v>
      </c>
      <c r="S20">
        <f>IF(Teams!A19="","",J20+Q20)</f>
        <v>0</v>
      </c>
      <c r="T20">
        <f>IF(Teams!A19="","",H20+O20)</f>
        <v>0</v>
      </c>
      <c r="U20">
        <f>IF(Teams!A19="","",K20+R20)</f>
        <v>0</v>
      </c>
      <c r="V20">
        <f>IF(Teams!A19="","",RANK(U20,$U$3:$U$22))</f>
        <v>1</v>
      </c>
      <c r="W20" cm="1">
        <f t="array" ref="W20">IF(Teams!A19="","",SUMPRODUCT(($U$3:$U$22=U20)*($S$3:$S$22&gt;S20)))</f>
        <v>0</v>
      </c>
      <c r="X20" cm="1">
        <f t="array" ref="X20">IF(Teams!A19="","",SUMPRODUCT(($U$3:$U$22=U20)*($S$3:$S$22=S20)*($T$3:$T$22&gt;T20)))</f>
        <v>0</v>
      </c>
    </row>
    <row r="21" spans="1:24" x14ac:dyDescent="0.3">
      <c r="A21">
        <f>IF(Teams!A20="","",RANK($B21,$B$3:$B$20,1)+COUNTIF($B$3:$B21,$B21)-1)</f>
        <v>19</v>
      </c>
      <c r="B21">
        <f>IF(Teams!A20="","",V21+W21+X21)</f>
        <v>1</v>
      </c>
      <c r="C21" t="str">
        <f>IF(Teams!A20="","",Teams!A20)</f>
        <v>Team 19</v>
      </c>
      <c r="D21">
        <f>IF(Teams!A20="","",COUNTIFS(Fixtures!$A:$A,Calculations!$C21,Fixtures!$B:$B,"&gt;=0")+COUNTIFS(Fixtures!$E:$E,Calculations!$C21,Fixtures!$D:$D,"&gt;=0"))</f>
        <v>0</v>
      </c>
      <c r="E21" cm="1">
        <f t="array" ref="E21">IF(Teams!A20="","",SUMPRODUCT((Fixtures!$A:$A=Calculations!$C21)*(Fixtures!$B:$B&gt;Fixtures!$D:$D)))</f>
        <v>0</v>
      </c>
      <c r="F21" cm="1">
        <f t="array" ref="F21">IF(Teams!A20="","",SUMPRODUCT((Fixtures!$A:$A=Calculations!$C21)*(Fixtures!$B:$B&lt;Fixtures!$D:$D)))</f>
        <v>0</v>
      </c>
      <c r="G21" cm="1">
        <f t="array" ref="G21">IF(Teams!A20="","",SUMPRODUCT((Fixtures!$A:$A=Calculations!$C21)*(Fixtures!$B:$B=Fixtures!$D:$D)*(Fixtures!$B:$B&lt;&gt;"")))</f>
        <v>0</v>
      </c>
      <c r="H21">
        <f>IF(Teams!A20="","",SUMIFS(Fixtures!$B:$B,Fixtures!$A:$A,Calculations!$C21,Fixtures!$B:$B,"&gt;=0"))</f>
        <v>0</v>
      </c>
      <c r="I21">
        <f>IF(Teams!A20="","",SUMIFS(Fixtures!$D:$D,Fixtures!$A:$A,Calculations!$C21,Fixtures!$D:$D,"&gt;=0"))</f>
        <v>0</v>
      </c>
      <c r="J21">
        <f>IF(Teams!A20="","",H21-I21)</f>
        <v>0</v>
      </c>
      <c r="K21">
        <f>IF(Teams!A20="","",$E21*'Basic data'!$E$2+$G21*'Basic data'!$E$3)</f>
        <v>0</v>
      </c>
      <c r="L21" cm="1">
        <f t="array" ref="L21">IF(Teams!A20="","",SUMPRODUCT((Fixtures!$E:$E=Calculations!$C21)*(Fixtures!$D:$D&gt;Fixtures!$B:$B)))</f>
        <v>0</v>
      </c>
      <c r="M21" cm="1">
        <f t="array" ref="M21">IF(Teams!A20="","",SUMPRODUCT((Fixtures!$E:$E=Calculations!$C21)*(Fixtures!$D:$D&lt;Fixtures!$B:$B)))</f>
        <v>0</v>
      </c>
      <c r="N21" cm="1">
        <f t="array" ref="N21">IF(Teams!A20="","",SUMPRODUCT((Fixtures!$E:$E=Calculations!$C21)*(Fixtures!$D:$D=Fixtures!$B:$B)*(Fixtures!$D:$D&lt;&gt;"")))</f>
        <v>0</v>
      </c>
      <c r="O21">
        <f>IF(Teams!A20="","",SUMIFS(Fixtures!$D:$D,Fixtures!$E:$E,Calculations!$C21,Fixtures!$D:$D,"&gt;=0"))</f>
        <v>0</v>
      </c>
      <c r="P21">
        <f>IF(Teams!A20="","",SUMIFS(Fixtures!$B:$B,Fixtures!$E:$E,Calculations!$C21,Fixtures!$B:$B,"&gt;=0"))</f>
        <v>0</v>
      </c>
      <c r="Q21">
        <f>IF(Teams!A20="","",O21-P21)</f>
        <v>0</v>
      </c>
      <c r="R21">
        <f>IF(Teams!A20="","",$L21*'Basic data'!$E$2+$N21*'Basic data'!$E$3)</f>
        <v>0</v>
      </c>
      <c r="S21">
        <f>IF(Teams!A20="","",J21+Q21)</f>
        <v>0</v>
      </c>
      <c r="T21">
        <f>IF(Teams!A20="","",H21+O21)</f>
        <v>0</v>
      </c>
      <c r="U21">
        <f>IF(Teams!A20="","",K21+R21)</f>
        <v>0</v>
      </c>
      <c r="V21">
        <f>IF(Teams!A20="","",RANK(U21,$U$3:$U$22))</f>
        <v>1</v>
      </c>
      <c r="W21" cm="1">
        <f t="array" ref="W21">IF(Teams!A20="","",SUMPRODUCT(($U$3:$U$22=U21)*($S$3:$S$22&gt;S21)))</f>
        <v>0</v>
      </c>
      <c r="X21" cm="1">
        <f t="array" ref="X21">IF(Teams!A20="","",SUMPRODUCT(($U$3:$U$22=U21)*($S$3:$S$22=S21)*($T$3:$T$22&gt;T21)))</f>
        <v>0</v>
      </c>
    </row>
    <row r="22" spans="1:24" x14ac:dyDescent="0.3">
      <c r="A22">
        <f>IF(Teams!A21="","",RANK($B22,$B$3:$B$20,1)+COUNTIF($B$3:$B22,$B22)-1)</f>
        <v>20</v>
      </c>
      <c r="B22">
        <f>IF(Teams!A21="","",V22+W22+X22)</f>
        <v>1</v>
      </c>
      <c r="C22" t="str">
        <f>IF(Teams!A21="","",Teams!A21)</f>
        <v>Team 20</v>
      </c>
      <c r="D22">
        <f>IF(Teams!A21="","",COUNTIFS(Fixtures!$A:$A,Calculations!$C22,Fixtures!$B:$B,"&gt;=0")+COUNTIFS(Fixtures!$E:$E,Calculations!$C22,Fixtures!$D:$D,"&gt;=0"))</f>
        <v>0</v>
      </c>
      <c r="E22" cm="1">
        <f t="array" ref="E22">IF(Teams!A21="","",SUMPRODUCT((Fixtures!$A:$A=Calculations!$C22)*(Fixtures!$B:$B&gt;Fixtures!$D:$D)))</f>
        <v>0</v>
      </c>
      <c r="F22" cm="1">
        <f t="array" ref="F22">IF(Teams!A21="","",SUMPRODUCT((Fixtures!$A:$A=Calculations!$C22)*(Fixtures!$B:$B&lt;Fixtures!$D:$D)))</f>
        <v>0</v>
      </c>
      <c r="G22" cm="1">
        <f t="array" ref="G22">IF(Teams!A21="","",SUMPRODUCT((Fixtures!$A:$A=Calculations!$C22)*(Fixtures!$B:$B=Fixtures!$D:$D)*(Fixtures!$B:$B&lt;&gt;"")))</f>
        <v>0</v>
      </c>
      <c r="H22">
        <f>IF(Teams!A21="","",SUMIFS(Fixtures!$B:$B,Fixtures!$A:$A,Calculations!$C22,Fixtures!$B:$B,"&gt;=0"))</f>
        <v>0</v>
      </c>
      <c r="I22">
        <f>IF(Teams!A21="","",SUMIFS(Fixtures!$D:$D,Fixtures!$A:$A,Calculations!$C22,Fixtures!$D:$D,"&gt;=0"))</f>
        <v>0</v>
      </c>
      <c r="J22">
        <f>IF(Teams!A21="","",H22-I22)</f>
        <v>0</v>
      </c>
      <c r="K22">
        <f>IF(Teams!A21="","",$E22*'Basic data'!$E$2+$G22*'Basic data'!$E$3)</f>
        <v>0</v>
      </c>
      <c r="L22" cm="1">
        <f t="array" ref="L22">IF(Teams!A21="","",SUMPRODUCT((Fixtures!$E:$E=Calculations!$C22)*(Fixtures!$D:$D&gt;Fixtures!$B:$B)))</f>
        <v>0</v>
      </c>
      <c r="M22" cm="1">
        <f t="array" ref="M22">IF(Teams!A21="","",SUMPRODUCT((Fixtures!$E:$E=Calculations!$C22)*(Fixtures!$D:$D&lt;Fixtures!$B:$B)))</f>
        <v>0</v>
      </c>
      <c r="N22" cm="1">
        <f t="array" ref="N22">IF(Teams!A21="","",SUMPRODUCT((Fixtures!$E:$E=Calculations!$C22)*(Fixtures!$D:$D=Fixtures!$B:$B)*(Fixtures!$D:$D&lt;&gt;"")))</f>
        <v>0</v>
      </c>
      <c r="O22">
        <f>IF(Teams!A21="","",SUMIFS(Fixtures!$D:$D,Fixtures!$E:$E,Calculations!$C22,Fixtures!$D:$D,"&gt;=0"))</f>
        <v>0</v>
      </c>
      <c r="P22">
        <f>IF(Teams!A21="","",SUMIFS(Fixtures!$B:$B,Fixtures!$E:$E,Calculations!$C22,Fixtures!$B:$B,"&gt;=0"))</f>
        <v>0</v>
      </c>
      <c r="Q22">
        <f>IF(Teams!A21="","",O22-P22)</f>
        <v>0</v>
      </c>
      <c r="R22">
        <f>IF(Teams!A21="","",$L22*'Basic data'!$E$2+$N22*'Basic data'!$E$3)</f>
        <v>0</v>
      </c>
      <c r="S22">
        <f>IF(Teams!A21="","",J22+Q22)</f>
        <v>0</v>
      </c>
      <c r="T22">
        <f>IF(Teams!A21="","",H22+O22)</f>
        <v>0</v>
      </c>
      <c r="U22">
        <f>IF(Teams!A21="","",K22+R22)</f>
        <v>0</v>
      </c>
      <c r="V22">
        <f>IF(Teams!A21="","",RANK(U22,$U$3:$U$22))</f>
        <v>1</v>
      </c>
      <c r="W22" cm="1">
        <f t="array" ref="W22">IF(Teams!A21="","",SUMPRODUCT(($U$3:$U$22=U22)*($S$3:$S$22&gt;S22)))</f>
        <v>0</v>
      </c>
      <c r="X22" cm="1">
        <f t="array" ref="X22">IF(Teams!A21="","",SUMPRODUCT(($U$3:$U$22=U22)*($S$3:$S$22=S22)*($T$3:$T$22&gt;T22)))</f>
        <v>0</v>
      </c>
    </row>
    <row r="23" spans="1:24" x14ac:dyDescent="0.3">
      <c r="A23">
        <f>IF(Teams!A22="","",RANK($B23,$B$3:$B$20,1)+COUNTIF($B$3:$B23,$B23)-1)</f>
        <v>21</v>
      </c>
      <c r="B23">
        <f>IF(Teams!A22="","",V23+W23+X23)</f>
        <v>1</v>
      </c>
      <c r="C23" t="str">
        <f>IF(Teams!A22="","",Teams!A22)</f>
        <v>Team 21</v>
      </c>
      <c r="D23">
        <f>IF(Teams!A22="","",COUNTIFS(Fixtures!$A:$A,Calculations!$C23,Fixtures!$B:$B,"&gt;=0")+COUNTIFS(Fixtures!$E:$E,Calculations!$C23,Fixtures!$D:$D,"&gt;=0"))</f>
        <v>0</v>
      </c>
      <c r="E23" cm="1">
        <f t="array" ref="E23">IF(Teams!A22="","",SUMPRODUCT((Fixtures!$A:$A=Calculations!$C23)*(Fixtures!$B:$B&gt;Fixtures!$D:$D)))</f>
        <v>0</v>
      </c>
      <c r="F23" cm="1">
        <f t="array" ref="F23">IF(Teams!A22="","",SUMPRODUCT((Fixtures!$A:$A=Calculations!$C23)*(Fixtures!$B:$B&lt;Fixtures!$D:$D)))</f>
        <v>0</v>
      </c>
      <c r="G23" cm="1">
        <f t="array" ref="G23">IF(Teams!A22="","",SUMPRODUCT((Fixtures!$A:$A=Calculations!$C23)*(Fixtures!$B:$B=Fixtures!$D:$D)*(Fixtures!$B:$B&lt;&gt;"")))</f>
        <v>0</v>
      </c>
      <c r="H23">
        <f>IF(Teams!A22="","",SUMIFS(Fixtures!$B:$B,Fixtures!$A:$A,Calculations!$C23,Fixtures!$B:$B,"&gt;=0"))</f>
        <v>0</v>
      </c>
      <c r="I23">
        <f>IF(Teams!A22="","",SUMIFS(Fixtures!$D:$D,Fixtures!$A:$A,Calculations!$C23,Fixtures!$D:$D,"&gt;=0"))</f>
        <v>0</v>
      </c>
      <c r="J23">
        <f>IF(Teams!A22="","",H23-I23)</f>
        <v>0</v>
      </c>
      <c r="K23">
        <f>IF(Teams!A22="","",$E23*'Basic data'!$E$2+$G23*'Basic data'!$E$3)</f>
        <v>0</v>
      </c>
      <c r="L23" cm="1">
        <f t="array" ref="L23">IF(Teams!A22="","",SUMPRODUCT((Fixtures!$E:$E=Calculations!$C23)*(Fixtures!$D:$D&gt;Fixtures!$B:$B)))</f>
        <v>0</v>
      </c>
      <c r="M23" cm="1">
        <f t="array" ref="M23">IF(Teams!A22="","",SUMPRODUCT((Fixtures!$E:$E=Calculations!$C23)*(Fixtures!$D:$D&lt;Fixtures!$B:$B)))</f>
        <v>0</v>
      </c>
      <c r="N23" cm="1">
        <f t="array" ref="N23">IF(Teams!A22="","",SUMPRODUCT((Fixtures!$E:$E=Calculations!$C23)*(Fixtures!$D:$D=Fixtures!$B:$B)*(Fixtures!$D:$D&lt;&gt;"")))</f>
        <v>0</v>
      </c>
      <c r="O23">
        <f>IF(Teams!A22="","",SUMIFS(Fixtures!$D:$D,Fixtures!$E:$E,Calculations!$C23,Fixtures!$D:$D,"&gt;=0"))</f>
        <v>0</v>
      </c>
      <c r="P23">
        <f>IF(Teams!A22="","",SUMIFS(Fixtures!$B:$B,Fixtures!$E:$E,Calculations!$C23,Fixtures!$B:$B,"&gt;=0"))</f>
        <v>0</v>
      </c>
      <c r="Q23">
        <f>IF(Teams!A22="","",O23-P23)</f>
        <v>0</v>
      </c>
      <c r="R23">
        <f>IF(Teams!A22="","",$L23*'Basic data'!$E$2+$N23*'Basic data'!$E$3)</f>
        <v>0</v>
      </c>
      <c r="S23">
        <f>IF(Teams!A22="","",J23+Q23)</f>
        <v>0</v>
      </c>
      <c r="T23">
        <f>IF(Teams!A22="","",H23+O23)</f>
        <v>0</v>
      </c>
      <c r="U23">
        <f>IF(Teams!A22="","",K23+R23)</f>
        <v>0</v>
      </c>
      <c r="V23">
        <f>IF(Teams!A22="","",RANK(U23,$U$3:$U$22))</f>
        <v>1</v>
      </c>
      <c r="W23" cm="1">
        <f t="array" ref="W23">IF(Teams!A22="","",SUMPRODUCT(($U$3:$U$22=U23)*($S$3:$S$22&gt;S23)))</f>
        <v>0</v>
      </c>
      <c r="X23" cm="1">
        <f t="array" ref="X23">IF(Teams!A22="","",SUMPRODUCT(($U$3:$U$22=U23)*($S$3:$S$22=S23)*($T$3:$T$22&gt;T23)))</f>
        <v>0</v>
      </c>
    </row>
    <row r="24" spans="1:24" x14ac:dyDescent="0.3">
      <c r="A24">
        <f>IF(Teams!A23="","",RANK($B24,$B$3:$B$20,1)+COUNTIF($B$3:$B24,$B24)-1)</f>
        <v>22</v>
      </c>
      <c r="B24">
        <f>IF(Teams!A23="","",V24+W24+X24)</f>
        <v>1</v>
      </c>
      <c r="C24" t="str">
        <f>IF(Teams!A23="","",Teams!A23)</f>
        <v>Team 22</v>
      </c>
      <c r="D24">
        <f>IF(Teams!A23="","",COUNTIFS(Fixtures!$A:$A,Calculations!$C24,Fixtures!$B:$B,"&gt;=0")+COUNTIFS(Fixtures!$E:$E,Calculations!$C24,Fixtures!$D:$D,"&gt;=0"))</f>
        <v>0</v>
      </c>
      <c r="E24" cm="1">
        <f t="array" ref="E24">IF(Teams!A23="","",SUMPRODUCT((Fixtures!$A:$A=Calculations!$C24)*(Fixtures!$B:$B&gt;Fixtures!$D:$D)))</f>
        <v>0</v>
      </c>
      <c r="F24" cm="1">
        <f t="array" ref="F24">IF(Teams!A23="","",SUMPRODUCT((Fixtures!$A:$A=Calculations!$C24)*(Fixtures!$B:$B&lt;Fixtures!$D:$D)))</f>
        <v>0</v>
      </c>
      <c r="G24" cm="1">
        <f t="array" ref="G24">IF(Teams!A23="","",SUMPRODUCT((Fixtures!$A:$A=Calculations!$C24)*(Fixtures!$B:$B=Fixtures!$D:$D)*(Fixtures!$B:$B&lt;&gt;"")))</f>
        <v>0</v>
      </c>
      <c r="H24">
        <f>IF(Teams!A23="","",SUMIFS(Fixtures!$B:$B,Fixtures!$A:$A,Calculations!$C24,Fixtures!$B:$B,"&gt;=0"))</f>
        <v>0</v>
      </c>
      <c r="I24">
        <f>IF(Teams!A23="","",SUMIFS(Fixtures!$D:$D,Fixtures!$A:$A,Calculations!$C24,Fixtures!$D:$D,"&gt;=0"))</f>
        <v>0</v>
      </c>
      <c r="J24">
        <f>IF(Teams!A23="","",H24-I24)</f>
        <v>0</v>
      </c>
      <c r="K24">
        <f>IF(Teams!A23="","",$E24*'Basic data'!$E$2+$G24*'Basic data'!$E$3)</f>
        <v>0</v>
      </c>
      <c r="L24" cm="1">
        <f t="array" ref="L24">IF(Teams!A23="","",SUMPRODUCT((Fixtures!$E:$E=Calculations!$C24)*(Fixtures!$D:$D&gt;Fixtures!$B:$B)))</f>
        <v>0</v>
      </c>
      <c r="M24" cm="1">
        <f t="array" ref="M24">IF(Teams!A23="","",SUMPRODUCT((Fixtures!$E:$E=Calculations!$C24)*(Fixtures!$D:$D&lt;Fixtures!$B:$B)))</f>
        <v>0</v>
      </c>
      <c r="N24" cm="1">
        <f t="array" ref="N24">IF(Teams!A23="","",SUMPRODUCT((Fixtures!$E:$E=Calculations!$C24)*(Fixtures!$D:$D=Fixtures!$B:$B)*(Fixtures!$D:$D&lt;&gt;"")))</f>
        <v>0</v>
      </c>
      <c r="O24">
        <f>IF(Teams!A23="","",SUMIFS(Fixtures!$D:$D,Fixtures!$E:$E,Calculations!$C24,Fixtures!$D:$D,"&gt;=0"))</f>
        <v>0</v>
      </c>
      <c r="P24">
        <f>IF(Teams!A23="","",SUMIFS(Fixtures!$B:$B,Fixtures!$E:$E,Calculations!$C24,Fixtures!$B:$B,"&gt;=0"))</f>
        <v>0</v>
      </c>
      <c r="Q24">
        <f>IF(Teams!A23="","",O24-P24)</f>
        <v>0</v>
      </c>
      <c r="R24">
        <f>IF(Teams!A23="","",$L24*'Basic data'!$E$2+$N24*'Basic data'!$E$3)</f>
        <v>0</v>
      </c>
      <c r="S24">
        <f>IF(Teams!A23="","",J24+Q24)</f>
        <v>0</v>
      </c>
      <c r="T24">
        <f>IF(Teams!A23="","",H24+O24)</f>
        <v>0</v>
      </c>
      <c r="U24">
        <f>IF(Teams!A23="","",K24+R24)</f>
        <v>0</v>
      </c>
      <c r="V24">
        <f>IF(Teams!A23="","",RANK(U24,$U$3:$U$22))</f>
        <v>1</v>
      </c>
      <c r="W24" cm="1">
        <f t="array" ref="W24">IF(Teams!A23="","",SUMPRODUCT(($U$3:$U$22=U24)*($S$3:$S$22&gt;S24)))</f>
        <v>0</v>
      </c>
      <c r="X24" cm="1">
        <f t="array" ref="X24">IF(Teams!A23="","",SUMPRODUCT(($U$3:$U$22=U24)*($S$3:$S$22=S24)*($T$3:$T$22&gt;T24)))</f>
        <v>0</v>
      </c>
    </row>
    <row r="25" spans="1:24" x14ac:dyDescent="0.3">
      <c r="A25">
        <f>IF(Teams!A24="","",RANK($B25,$B$3:$B$20,1)+COUNTIF($B$3:$B25,$B25)-1)</f>
        <v>23</v>
      </c>
      <c r="B25">
        <f>IF(Teams!A24="","",V25+W25+X25)</f>
        <v>1</v>
      </c>
      <c r="C25" t="str">
        <f>IF(Teams!A24="","",Teams!A24)</f>
        <v>Team 23</v>
      </c>
      <c r="D25">
        <f>IF(Teams!A24="","",COUNTIFS(Fixtures!$A:$A,Calculations!$C25,Fixtures!$B:$B,"&gt;=0")+COUNTIFS(Fixtures!$E:$E,Calculations!$C25,Fixtures!$D:$D,"&gt;=0"))</f>
        <v>0</v>
      </c>
      <c r="E25" cm="1">
        <f t="array" ref="E25">IF(Teams!A24="","",SUMPRODUCT((Fixtures!$A:$A=Calculations!$C25)*(Fixtures!$B:$B&gt;Fixtures!$D:$D)))</f>
        <v>0</v>
      </c>
      <c r="F25" cm="1">
        <f t="array" ref="F25">IF(Teams!A24="","",SUMPRODUCT((Fixtures!$A:$A=Calculations!$C25)*(Fixtures!$B:$B&lt;Fixtures!$D:$D)))</f>
        <v>0</v>
      </c>
      <c r="G25" cm="1">
        <f t="array" ref="G25">IF(Teams!A24="","",SUMPRODUCT((Fixtures!$A:$A=Calculations!$C25)*(Fixtures!$B:$B=Fixtures!$D:$D)*(Fixtures!$B:$B&lt;&gt;"")))</f>
        <v>0</v>
      </c>
      <c r="H25">
        <f>IF(Teams!A24="","",SUMIFS(Fixtures!$B:$B,Fixtures!$A:$A,Calculations!$C25,Fixtures!$B:$B,"&gt;=0"))</f>
        <v>0</v>
      </c>
      <c r="I25">
        <f>IF(Teams!A24="","",SUMIFS(Fixtures!$D:$D,Fixtures!$A:$A,Calculations!$C25,Fixtures!$D:$D,"&gt;=0"))</f>
        <v>0</v>
      </c>
      <c r="J25">
        <f>IF(Teams!A24="","",H25-I25)</f>
        <v>0</v>
      </c>
      <c r="K25">
        <f>IF(Teams!A24="","",$E25*'Basic data'!$E$2+$G25*'Basic data'!$E$3)</f>
        <v>0</v>
      </c>
      <c r="L25" cm="1">
        <f t="array" ref="L25">IF(Teams!A24="","",SUMPRODUCT((Fixtures!$E:$E=Calculations!$C25)*(Fixtures!$D:$D&gt;Fixtures!$B:$B)))</f>
        <v>0</v>
      </c>
      <c r="M25" cm="1">
        <f t="array" ref="M25">IF(Teams!A24="","",SUMPRODUCT((Fixtures!$E:$E=Calculations!$C25)*(Fixtures!$D:$D&lt;Fixtures!$B:$B)))</f>
        <v>0</v>
      </c>
      <c r="N25" cm="1">
        <f t="array" ref="N25">IF(Teams!A24="","",SUMPRODUCT((Fixtures!$E:$E=Calculations!$C25)*(Fixtures!$D:$D=Fixtures!$B:$B)*(Fixtures!$D:$D&lt;&gt;"")))</f>
        <v>0</v>
      </c>
      <c r="O25">
        <f>IF(Teams!A24="","",SUMIFS(Fixtures!$D:$D,Fixtures!$E:$E,Calculations!$C25,Fixtures!$D:$D,"&gt;=0"))</f>
        <v>0</v>
      </c>
      <c r="P25">
        <f>IF(Teams!A24="","",SUMIFS(Fixtures!$B:$B,Fixtures!$E:$E,Calculations!$C25,Fixtures!$B:$B,"&gt;=0"))</f>
        <v>0</v>
      </c>
      <c r="Q25">
        <f>IF(Teams!A24="","",O25-P25)</f>
        <v>0</v>
      </c>
      <c r="R25">
        <f>IF(Teams!A24="","",$L25*'Basic data'!$E$2+$N25*'Basic data'!$E$3)</f>
        <v>0</v>
      </c>
      <c r="S25">
        <f>IF(Teams!A24="","",J25+Q25)</f>
        <v>0</v>
      </c>
      <c r="T25">
        <f>IF(Teams!A24="","",H25+O25)</f>
        <v>0</v>
      </c>
      <c r="U25">
        <f>IF(Teams!A24="","",K25+R25)</f>
        <v>0</v>
      </c>
      <c r="V25">
        <f>IF(Teams!A24="","",RANK(U25,$U$3:$U$22))</f>
        <v>1</v>
      </c>
      <c r="W25" cm="1">
        <f t="array" ref="W25">IF(Teams!A24="","",SUMPRODUCT(($U$3:$U$22=U25)*($S$3:$S$22&gt;S25)))</f>
        <v>0</v>
      </c>
      <c r="X25" cm="1">
        <f t="array" ref="X25">IF(Teams!A24="","",SUMPRODUCT(($U$3:$U$22=U25)*($S$3:$S$22=S25)*($T$3:$T$22&gt;T25)))</f>
        <v>0</v>
      </c>
    </row>
    <row r="26" spans="1:24" x14ac:dyDescent="0.3">
      <c r="A26">
        <f>IF(Teams!A25="","",RANK($B26,$B$3:$B$20,1)+COUNTIF($B$3:$B26,$B26)-1)</f>
        <v>24</v>
      </c>
      <c r="B26">
        <f>IF(Teams!A25="","",V26+W26+X26)</f>
        <v>1</v>
      </c>
      <c r="C26" t="str">
        <f>IF(Teams!A25="","",Teams!A25)</f>
        <v>Team 24</v>
      </c>
      <c r="D26">
        <f>IF(Teams!A25="","",COUNTIFS(Fixtures!$A:$A,Calculations!$C26,Fixtures!$B:$B,"&gt;=0")+COUNTIFS(Fixtures!$E:$E,Calculations!$C26,Fixtures!$D:$D,"&gt;=0"))</f>
        <v>0</v>
      </c>
      <c r="E26" cm="1">
        <f t="array" ref="E26">IF(Teams!A25="","",SUMPRODUCT((Fixtures!$A:$A=Calculations!$C26)*(Fixtures!$B:$B&gt;Fixtures!$D:$D)))</f>
        <v>0</v>
      </c>
      <c r="F26" cm="1">
        <f t="array" ref="F26">IF(Teams!A25="","",SUMPRODUCT((Fixtures!$A:$A=Calculations!$C26)*(Fixtures!$B:$B&lt;Fixtures!$D:$D)))</f>
        <v>0</v>
      </c>
      <c r="G26" cm="1">
        <f t="array" ref="G26">IF(Teams!A25="","",SUMPRODUCT((Fixtures!$A:$A=Calculations!$C26)*(Fixtures!$B:$B=Fixtures!$D:$D)*(Fixtures!$B:$B&lt;&gt;"")))</f>
        <v>0</v>
      </c>
      <c r="H26">
        <f>IF(Teams!A25="","",SUMIFS(Fixtures!$B:$B,Fixtures!$A:$A,Calculations!$C26,Fixtures!$B:$B,"&gt;=0"))</f>
        <v>0</v>
      </c>
      <c r="I26">
        <f>IF(Teams!A25="","",SUMIFS(Fixtures!$D:$D,Fixtures!$A:$A,Calculations!$C26,Fixtures!$D:$D,"&gt;=0"))</f>
        <v>0</v>
      </c>
      <c r="J26">
        <f>IF(Teams!A25="","",H26-I26)</f>
        <v>0</v>
      </c>
      <c r="K26">
        <f>IF(Teams!A25="","",$E26*'Basic data'!$E$2+$G26*'Basic data'!$E$3)</f>
        <v>0</v>
      </c>
      <c r="L26" cm="1">
        <f t="array" ref="L26">IF(Teams!A25="","",SUMPRODUCT((Fixtures!$E:$E=Calculations!$C26)*(Fixtures!$D:$D&gt;Fixtures!$B:$B)))</f>
        <v>0</v>
      </c>
      <c r="M26" cm="1">
        <f t="array" ref="M26">IF(Teams!A25="","",SUMPRODUCT((Fixtures!$E:$E=Calculations!$C26)*(Fixtures!$D:$D&lt;Fixtures!$B:$B)))</f>
        <v>0</v>
      </c>
      <c r="N26" cm="1">
        <f t="array" ref="N26">IF(Teams!A25="","",SUMPRODUCT((Fixtures!$E:$E=Calculations!$C26)*(Fixtures!$D:$D=Fixtures!$B:$B)*(Fixtures!$D:$D&lt;&gt;"")))</f>
        <v>0</v>
      </c>
      <c r="O26">
        <f>IF(Teams!A25="","",SUMIFS(Fixtures!$D:$D,Fixtures!$E:$E,Calculations!$C26,Fixtures!$D:$D,"&gt;=0"))</f>
        <v>0</v>
      </c>
      <c r="P26">
        <f>IF(Teams!A25="","",SUMIFS(Fixtures!$B:$B,Fixtures!$E:$E,Calculations!$C26,Fixtures!$B:$B,"&gt;=0"))</f>
        <v>0</v>
      </c>
      <c r="Q26">
        <f>IF(Teams!A25="","",O26-P26)</f>
        <v>0</v>
      </c>
      <c r="R26">
        <f>IF(Teams!A25="","",$L26*'Basic data'!$E$2+$N26*'Basic data'!$E$3)</f>
        <v>0</v>
      </c>
      <c r="S26">
        <f>IF(Teams!A25="","",J26+Q26)</f>
        <v>0</v>
      </c>
      <c r="T26">
        <f>IF(Teams!A25="","",H26+O26)</f>
        <v>0</v>
      </c>
      <c r="U26">
        <f>IF(Teams!A25="","",K26+R26)</f>
        <v>0</v>
      </c>
      <c r="V26">
        <f>IF(Teams!A25="","",RANK(U26,$U$3:$U$22))</f>
        <v>1</v>
      </c>
      <c r="W26" cm="1">
        <f t="array" ref="W26">IF(Teams!A25="","",SUMPRODUCT(($U$3:$U$22=U26)*($S$3:$S$22&gt;S26)))</f>
        <v>0</v>
      </c>
      <c r="X26" cm="1">
        <f t="array" ref="X26">IF(Teams!A25="","",SUMPRODUCT(($U$3:$U$22=U26)*($S$3:$S$22=S26)*($T$3:$T$22&gt;T26)))</f>
        <v>0</v>
      </c>
    </row>
    <row r="27" spans="1:24" x14ac:dyDescent="0.3">
      <c r="A27">
        <f>IF(Teams!A26="","",RANK($B27,$B$3:$B$20,1)+COUNTIF($B$3:$B27,$B27)-1)</f>
        <v>25</v>
      </c>
      <c r="B27">
        <f>IF(Teams!A26="","",V27+W27+X27)</f>
        <v>1</v>
      </c>
      <c r="C27" t="str">
        <f>IF(Teams!A26="","",Teams!A26)</f>
        <v>Team 25</v>
      </c>
      <c r="D27">
        <f>IF(Teams!A26="","",COUNTIFS(Fixtures!$A:$A,Calculations!$C27,Fixtures!$B:$B,"&gt;=0")+COUNTIFS(Fixtures!$E:$E,Calculations!$C27,Fixtures!$D:$D,"&gt;=0"))</f>
        <v>0</v>
      </c>
      <c r="E27" cm="1">
        <f t="array" ref="E27">IF(Teams!A26="","",SUMPRODUCT((Fixtures!$A:$A=Calculations!$C27)*(Fixtures!$B:$B&gt;Fixtures!$D:$D)))</f>
        <v>0</v>
      </c>
      <c r="F27" cm="1">
        <f t="array" ref="F27">IF(Teams!A26="","",SUMPRODUCT((Fixtures!$A:$A=Calculations!$C27)*(Fixtures!$B:$B&lt;Fixtures!$D:$D)))</f>
        <v>0</v>
      </c>
      <c r="G27" cm="1">
        <f t="array" ref="G27">IF(Teams!A26="","",SUMPRODUCT((Fixtures!$A:$A=Calculations!$C27)*(Fixtures!$B:$B=Fixtures!$D:$D)*(Fixtures!$B:$B&lt;&gt;"")))</f>
        <v>0</v>
      </c>
      <c r="H27">
        <f>IF(Teams!A26="","",SUMIFS(Fixtures!$B:$B,Fixtures!$A:$A,Calculations!$C27,Fixtures!$B:$B,"&gt;=0"))</f>
        <v>0</v>
      </c>
      <c r="I27">
        <f>IF(Teams!A26="","",SUMIFS(Fixtures!$D:$D,Fixtures!$A:$A,Calculations!$C27,Fixtures!$D:$D,"&gt;=0"))</f>
        <v>0</v>
      </c>
      <c r="J27">
        <f>IF(Teams!A26="","",H27-I27)</f>
        <v>0</v>
      </c>
      <c r="K27">
        <f>IF(Teams!A26="","",$E27*'Basic data'!$E$2+$G27*'Basic data'!$E$3)</f>
        <v>0</v>
      </c>
      <c r="L27" cm="1">
        <f t="array" ref="L27">IF(Teams!A26="","",SUMPRODUCT((Fixtures!$E:$E=Calculations!$C27)*(Fixtures!$D:$D&gt;Fixtures!$B:$B)))</f>
        <v>0</v>
      </c>
      <c r="M27" cm="1">
        <f t="array" ref="M27">IF(Teams!A26="","",SUMPRODUCT((Fixtures!$E:$E=Calculations!$C27)*(Fixtures!$D:$D&lt;Fixtures!$B:$B)))</f>
        <v>0</v>
      </c>
      <c r="N27" cm="1">
        <f t="array" ref="N27">IF(Teams!A26="","",SUMPRODUCT((Fixtures!$E:$E=Calculations!$C27)*(Fixtures!$D:$D=Fixtures!$B:$B)*(Fixtures!$D:$D&lt;&gt;"")))</f>
        <v>0</v>
      </c>
      <c r="O27">
        <f>IF(Teams!A26="","",SUMIFS(Fixtures!$D:$D,Fixtures!$E:$E,Calculations!$C27,Fixtures!$D:$D,"&gt;=0"))</f>
        <v>0</v>
      </c>
      <c r="P27">
        <f>IF(Teams!A26="","",SUMIFS(Fixtures!$B:$B,Fixtures!$E:$E,Calculations!$C27,Fixtures!$B:$B,"&gt;=0"))</f>
        <v>0</v>
      </c>
      <c r="Q27">
        <f>IF(Teams!A26="","",O27-P27)</f>
        <v>0</v>
      </c>
      <c r="R27">
        <f>IF(Teams!A26="","",$L27*'Basic data'!$E$2+$N27*'Basic data'!$E$3)</f>
        <v>0</v>
      </c>
      <c r="S27">
        <f>IF(Teams!A26="","",J27+Q27)</f>
        <v>0</v>
      </c>
      <c r="T27">
        <f>IF(Teams!A26="","",H27+O27)</f>
        <v>0</v>
      </c>
      <c r="U27">
        <f>IF(Teams!A26="","",K27+R27)</f>
        <v>0</v>
      </c>
      <c r="V27">
        <f>IF(Teams!A26="","",RANK(U27,$U$3:$U$22))</f>
        <v>1</v>
      </c>
      <c r="W27" cm="1">
        <f t="array" ref="W27">IF(Teams!A26="","",SUMPRODUCT(($U$3:$U$22=U27)*($S$3:$S$22&gt;S27)))</f>
        <v>0</v>
      </c>
      <c r="X27" cm="1">
        <f t="array" ref="X27">IF(Teams!A26="","",SUMPRODUCT(($U$3:$U$22=U27)*($S$3:$S$22=S27)*($T$3:$T$22&gt;T27)))</f>
        <v>0</v>
      </c>
    </row>
    <row r="28" spans="1:24" x14ac:dyDescent="0.3">
      <c r="A28">
        <f>IF(Teams!A27="","",RANK($B28,$B$3:$B$20,1)+COUNTIF($B$3:$B28,$B28)-1)</f>
        <v>26</v>
      </c>
      <c r="B28">
        <f>IF(Teams!A27="","",V28+W28+X28)</f>
        <v>1</v>
      </c>
      <c r="C28" t="str">
        <f>IF(Teams!A27="","",Teams!A27)</f>
        <v>Team 26</v>
      </c>
      <c r="D28">
        <f>IF(Teams!A27="","",COUNTIFS(Fixtures!$A:$A,Calculations!$C28,Fixtures!$B:$B,"&gt;=0")+COUNTIFS(Fixtures!$E:$E,Calculations!$C28,Fixtures!$D:$D,"&gt;=0"))</f>
        <v>0</v>
      </c>
      <c r="E28" cm="1">
        <f t="array" ref="E28">IF(Teams!A27="","",SUMPRODUCT((Fixtures!$A:$A=Calculations!$C28)*(Fixtures!$B:$B&gt;Fixtures!$D:$D)))</f>
        <v>0</v>
      </c>
      <c r="F28" cm="1">
        <f t="array" ref="F28">IF(Teams!A27="","",SUMPRODUCT((Fixtures!$A:$A=Calculations!$C28)*(Fixtures!$B:$B&lt;Fixtures!$D:$D)))</f>
        <v>0</v>
      </c>
      <c r="G28" cm="1">
        <f t="array" ref="G28">IF(Teams!A27="","",SUMPRODUCT((Fixtures!$A:$A=Calculations!$C28)*(Fixtures!$B:$B=Fixtures!$D:$D)*(Fixtures!$B:$B&lt;&gt;"")))</f>
        <v>0</v>
      </c>
      <c r="H28">
        <f>IF(Teams!A27="","",SUMIFS(Fixtures!$B:$B,Fixtures!$A:$A,Calculations!$C28,Fixtures!$B:$B,"&gt;=0"))</f>
        <v>0</v>
      </c>
      <c r="I28">
        <f>IF(Teams!A27="","",SUMIFS(Fixtures!$D:$D,Fixtures!$A:$A,Calculations!$C28,Fixtures!$D:$D,"&gt;=0"))</f>
        <v>0</v>
      </c>
      <c r="J28">
        <f>IF(Teams!A27="","",H28-I28)</f>
        <v>0</v>
      </c>
      <c r="K28">
        <f>IF(Teams!A27="","",$E28*'Basic data'!$E$2+$G28*'Basic data'!$E$3)</f>
        <v>0</v>
      </c>
      <c r="L28" cm="1">
        <f t="array" ref="L28">IF(Teams!A27="","",SUMPRODUCT((Fixtures!$E:$E=Calculations!$C28)*(Fixtures!$D:$D&gt;Fixtures!$B:$B)))</f>
        <v>0</v>
      </c>
      <c r="M28" cm="1">
        <f t="array" ref="M28">IF(Teams!A27="","",SUMPRODUCT((Fixtures!$E:$E=Calculations!$C28)*(Fixtures!$D:$D&lt;Fixtures!$B:$B)))</f>
        <v>0</v>
      </c>
      <c r="N28" cm="1">
        <f t="array" ref="N28">IF(Teams!A27="","",SUMPRODUCT((Fixtures!$E:$E=Calculations!$C28)*(Fixtures!$D:$D=Fixtures!$B:$B)*(Fixtures!$D:$D&lt;&gt;"")))</f>
        <v>0</v>
      </c>
      <c r="O28">
        <f>IF(Teams!A27="","",SUMIFS(Fixtures!$D:$D,Fixtures!$E:$E,Calculations!$C28,Fixtures!$D:$D,"&gt;=0"))</f>
        <v>0</v>
      </c>
      <c r="P28">
        <f>IF(Teams!A27="","",SUMIFS(Fixtures!$B:$B,Fixtures!$E:$E,Calculations!$C28,Fixtures!$B:$B,"&gt;=0"))</f>
        <v>0</v>
      </c>
      <c r="Q28">
        <f>IF(Teams!A27="","",O28-P28)</f>
        <v>0</v>
      </c>
      <c r="R28">
        <f>IF(Teams!A27="","",$L28*'Basic data'!$E$2+$N28*'Basic data'!$E$3)</f>
        <v>0</v>
      </c>
      <c r="S28">
        <f>IF(Teams!A27="","",J28+Q28)</f>
        <v>0</v>
      </c>
      <c r="T28">
        <f>IF(Teams!A27="","",H28+O28)</f>
        <v>0</v>
      </c>
      <c r="U28">
        <f>IF(Teams!A27="","",K28+R28)</f>
        <v>0</v>
      </c>
      <c r="V28">
        <f>IF(Teams!A27="","",RANK(U28,$U$3:$U$22))</f>
        <v>1</v>
      </c>
      <c r="W28" cm="1">
        <f t="array" ref="W28">IF(Teams!A27="","",SUMPRODUCT(($U$3:$U$22=U28)*($S$3:$S$22&gt;S28)))</f>
        <v>0</v>
      </c>
      <c r="X28" cm="1">
        <f t="array" ref="X28">IF(Teams!A27="","",SUMPRODUCT(($U$3:$U$22=U28)*($S$3:$S$22=S28)*($T$3:$T$22&gt;T28)))</f>
        <v>0</v>
      </c>
    </row>
    <row r="29" spans="1:24" x14ac:dyDescent="0.3">
      <c r="A29">
        <f>IF(Teams!A28="","",RANK($B29,$B$3:$B$20,1)+COUNTIF($B$3:$B29,$B29)-1)</f>
        <v>27</v>
      </c>
      <c r="B29">
        <f>IF(Teams!A28="","",V29+W29+X29)</f>
        <v>1</v>
      </c>
      <c r="C29" t="str">
        <f>IF(Teams!A28="","",Teams!A28)</f>
        <v>Team 27</v>
      </c>
      <c r="D29">
        <f>IF(Teams!A28="","",COUNTIFS(Fixtures!$A:$A,Calculations!$C29,Fixtures!$B:$B,"&gt;=0")+COUNTIFS(Fixtures!$E:$E,Calculations!$C29,Fixtures!$D:$D,"&gt;=0"))</f>
        <v>0</v>
      </c>
      <c r="E29" cm="1">
        <f t="array" ref="E29">IF(Teams!A28="","",SUMPRODUCT((Fixtures!$A:$A=Calculations!$C29)*(Fixtures!$B:$B&gt;Fixtures!$D:$D)))</f>
        <v>0</v>
      </c>
      <c r="F29" cm="1">
        <f t="array" ref="F29">IF(Teams!A28="","",SUMPRODUCT((Fixtures!$A:$A=Calculations!$C29)*(Fixtures!$B:$B&lt;Fixtures!$D:$D)))</f>
        <v>0</v>
      </c>
      <c r="G29" cm="1">
        <f t="array" ref="G29">IF(Teams!A28="","",SUMPRODUCT((Fixtures!$A:$A=Calculations!$C29)*(Fixtures!$B:$B=Fixtures!$D:$D)*(Fixtures!$B:$B&lt;&gt;"")))</f>
        <v>0</v>
      </c>
      <c r="H29">
        <f>IF(Teams!A28="","",SUMIFS(Fixtures!$B:$B,Fixtures!$A:$A,Calculations!$C29,Fixtures!$B:$B,"&gt;=0"))</f>
        <v>0</v>
      </c>
      <c r="I29">
        <f>IF(Teams!A28="","",SUMIFS(Fixtures!$D:$D,Fixtures!$A:$A,Calculations!$C29,Fixtures!$D:$D,"&gt;=0"))</f>
        <v>0</v>
      </c>
      <c r="J29">
        <f>IF(Teams!A28="","",H29-I29)</f>
        <v>0</v>
      </c>
      <c r="K29">
        <f>IF(Teams!A28="","",$E29*'Basic data'!$E$2+$G29*'Basic data'!$E$3)</f>
        <v>0</v>
      </c>
      <c r="L29" cm="1">
        <f t="array" ref="L29">IF(Teams!A28="","",SUMPRODUCT((Fixtures!$E:$E=Calculations!$C29)*(Fixtures!$D:$D&gt;Fixtures!$B:$B)))</f>
        <v>0</v>
      </c>
      <c r="M29" cm="1">
        <f t="array" ref="M29">IF(Teams!A28="","",SUMPRODUCT((Fixtures!$E:$E=Calculations!$C29)*(Fixtures!$D:$D&lt;Fixtures!$B:$B)))</f>
        <v>0</v>
      </c>
      <c r="N29" cm="1">
        <f t="array" ref="N29">IF(Teams!A28="","",SUMPRODUCT((Fixtures!$E:$E=Calculations!$C29)*(Fixtures!$D:$D=Fixtures!$B:$B)*(Fixtures!$D:$D&lt;&gt;"")))</f>
        <v>0</v>
      </c>
      <c r="O29">
        <f>IF(Teams!A28="","",SUMIFS(Fixtures!$D:$D,Fixtures!$E:$E,Calculations!$C29,Fixtures!$D:$D,"&gt;=0"))</f>
        <v>0</v>
      </c>
      <c r="P29">
        <f>IF(Teams!A28="","",SUMIFS(Fixtures!$B:$B,Fixtures!$E:$E,Calculations!$C29,Fixtures!$B:$B,"&gt;=0"))</f>
        <v>0</v>
      </c>
      <c r="Q29">
        <f>IF(Teams!A28="","",O29-P29)</f>
        <v>0</v>
      </c>
      <c r="R29">
        <f>IF(Teams!A28="","",$L29*'Basic data'!$E$2+$N29*'Basic data'!$E$3)</f>
        <v>0</v>
      </c>
      <c r="S29">
        <f>IF(Teams!A28="","",J29+Q29)</f>
        <v>0</v>
      </c>
      <c r="T29">
        <f>IF(Teams!A28="","",H29+O29)</f>
        <v>0</v>
      </c>
      <c r="U29">
        <f>IF(Teams!A28="","",K29+R29)</f>
        <v>0</v>
      </c>
      <c r="V29">
        <f>IF(Teams!A28="","",RANK(U29,$U$3:$U$22))</f>
        <v>1</v>
      </c>
      <c r="W29" cm="1">
        <f t="array" ref="W29">IF(Teams!A28="","",SUMPRODUCT(($U$3:$U$22=U29)*($S$3:$S$22&gt;S29)))</f>
        <v>0</v>
      </c>
      <c r="X29" cm="1">
        <f t="array" ref="X29">IF(Teams!A28="","",SUMPRODUCT(($U$3:$U$22=U29)*($S$3:$S$22=S29)*($T$3:$T$22&gt;T29)))</f>
        <v>0</v>
      </c>
    </row>
    <row r="30" spans="1:24" x14ac:dyDescent="0.3">
      <c r="A30">
        <f>IF(Teams!A29="","",RANK($B30,$B$3:$B$20,1)+COUNTIF($B$3:$B30,$B30)-1)</f>
        <v>28</v>
      </c>
      <c r="B30">
        <f>IF(Teams!A29="","",V30+W30+X30)</f>
        <v>1</v>
      </c>
      <c r="C30" t="str">
        <f>IF(Teams!A29="","",Teams!A29)</f>
        <v>Team 28</v>
      </c>
      <c r="D30">
        <f>IF(Teams!A29="","",COUNTIFS(Fixtures!$A:$A,Calculations!$C30,Fixtures!$B:$B,"&gt;=0")+COUNTIFS(Fixtures!$E:$E,Calculations!$C30,Fixtures!$D:$D,"&gt;=0"))</f>
        <v>0</v>
      </c>
      <c r="E30" cm="1">
        <f t="array" ref="E30">IF(Teams!A29="","",SUMPRODUCT((Fixtures!$A:$A=Calculations!$C30)*(Fixtures!$B:$B&gt;Fixtures!$D:$D)))</f>
        <v>0</v>
      </c>
      <c r="F30" cm="1">
        <f t="array" ref="F30">IF(Teams!A29="","",SUMPRODUCT((Fixtures!$A:$A=Calculations!$C30)*(Fixtures!$B:$B&lt;Fixtures!$D:$D)))</f>
        <v>0</v>
      </c>
      <c r="G30" cm="1">
        <f t="array" ref="G30">IF(Teams!A29="","",SUMPRODUCT((Fixtures!$A:$A=Calculations!$C30)*(Fixtures!$B:$B=Fixtures!$D:$D)*(Fixtures!$B:$B&lt;&gt;"")))</f>
        <v>0</v>
      </c>
      <c r="H30">
        <f>IF(Teams!A29="","",SUMIFS(Fixtures!$B:$B,Fixtures!$A:$A,Calculations!$C30,Fixtures!$B:$B,"&gt;=0"))</f>
        <v>0</v>
      </c>
      <c r="I30">
        <f>IF(Teams!A29="","",SUMIFS(Fixtures!$D:$D,Fixtures!$A:$A,Calculations!$C30,Fixtures!$D:$D,"&gt;=0"))</f>
        <v>0</v>
      </c>
      <c r="J30">
        <f>IF(Teams!A29="","",H30-I30)</f>
        <v>0</v>
      </c>
      <c r="K30">
        <f>IF(Teams!A29="","",$E30*'Basic data'!$E$2+$G30*'Basic data'!$E$3)</f>
        <v>0</v>
      </c>
      <c r="L30" cm="1">
        <f t="array" ref="L30">IF(Teams!A29="","",SUMPRODUCT((Fixtures!$E:$E=Calculations!$C30)*(Fixtures!$D:$D&gt;Fixtures!$B:$B)))</f>
        <v>0</v>
      </c>
      <c r="M30" cm="1">
        <f t="array" ref="M30">IF(Teams!A29="","",SUMPRODUCT((Fixtures!$E:$E=Calculations!$C30)*(Fixtures!$D:$D&lt;Fixtures!$B:$B)))</f>
        <v>0</v>
      </c>
      <c r="N30" cm="1">
        <f t="array" ref="N30">IF(Teams!A29="","",SUMPRODUCT((Fixtures!$E:$E=Calculations!$C30)*(Fixtures!$D:$D=Fixtures!$B:$B)*(Fixtures!$D:$D&lt;&gt;"")))</f>
        <v>0</v>
      </c>
      <c r="O30">
        <f>IF(Teams!A29="","",SUMIFS(Fixtures!$D:$D,Fixtures!$E:$E,Calculations!$C30,Fixtures!$D:$D,"&gt;=0"))</f>
        <v>0</v>
      </c>
      <c r="P30">
        <f>IF(Teams!A29="","",SUMIFS(Fixtures!$B:$B,Fixtures!$E:$E,Calculations!$C30,Fixtures!$B:$B,"&gt;=0"))</f>
        <v>0</v>
      </c>
      <c r="Q30">
        <f>IF(Teams!A29="","",O30-P30)</f>
        <v>0</v>
      </c>
      <c r="R30">
        <f>IF(Teams!A29="","",$L30*'Basic data'!$E$2+$N30*'Basic data'!$E$3)</f>
        <v>0</v>
      </c>
      <c r="S30">
        <f>IF(Teams!A29="","",J30+Q30)</f>
        <v>0</v>
      </c>
      <c r="T30">
        <f>IF(Teams!A29="","",H30+O30)</f>
        <v>0</v>
      </c>
      <c r="U30">
        <f>IF(Teams!A29="","",K30+R30)</f>
        <v>0</v>
      </c>
      <c r="V30">
        <f>IF(Teams!A29="","",RANK(U30,$U$3:$U$22))</f>
        <v>1</v>
      </c>
      <c r="W30" cm="1">
        <f t="array" ref="W30">IF(Teams!A29="","",SUMPRODUCT(($U$3:$U$22=U30)*($S$3:$S$22&gt;S30)))</f>
        <v>0</v>
      </c>
      <c r="X30" cm="1">
        <f t="array" ref="X30">IF(Teams!A29="","",SUMPRODUCT(($U$3:$U$22=U30)*($S$3:$S$22=S30)*($T$3:$T$22&gt;T30)))</f>
        <v>0</v>
      </c>
    </row>
    <row r="31" spans="1:24" x14ac:dyDescent="0.3">
      <c r="A31">
        <f>IF(Teams!A30="","",RANK($B31,$B$3:$B$20,1)+COUNTIF($B$3:$B31,$B31)-1)</f>
        <v>29</v>
      </c>
      <c r="B31">
        <f>IF(Teams!A30="","",V31+W31+X31)</f>
        <v>1</v>
      </c>
      <c r="C31" t="str">
        <f>IF(Teams!A30="","",Teams!A30)</f>
        <v>Team 29</v>
      </c>
      <c r="D31">
        <f>IF(Teams!A30="","",COUNTIFS(Fixtures!$A:$A,Calculations!$C31,Fixtures!$B:$B,"&gt;=0")+COUNTIFS(Fixtures!$E:$E,Calculations!$C31,Fixtures!$D:$D,"&gt;=0"))</f>
        <v>0</v>
      </c>
      <c r="E31" cm="1">
        <f t="array" ref="E31">IF(Teams!A30="","",SUMPRODUCT((Fixtures!$A:$A=Calculations!$C31)*(Fixtures!$B:$B&gt;Fixtures!$D:$D)))</f>
        <v>0</v>
      </c>
      <c r="F31" cm="1">
        <f t="array" ref="F31">IF(Teams!A30="","",SUMPRODUCT((Fixtures!$A:$A=Calculations!$C31)*(Fixtures!$B:$B&lt;Fixtures!$D:$D)))</f>
        <v>0</v>
      </c>
      <c r="G31" cm="1">
        <f t="array" ref="G31">IF(Teams!A30="","",SUMPRODUCT((Fixtures!$A:$A=Calculations!$C31)*(Fixtures!$B:$B=Fixtures!$D:$D)*(Fixtures!$B:$B&lt;&gt;"")))</f>
        <v>0</v>
      </c>
      <c r="H31">
        <f>IF(Teams!A30="","",SUMIFS(Fixtures!$B:$B,Fixtures!$A:$A,Calculations!$C31,Fixtures!$B:$B,"&gt;=0"))</f>
        <v>0</v>
      </c>
      <c r="I31">
        <f>IF(Teams!A30="","",SUMIFS(Fixtures!$D:$D,Fixtures!$A:$A,Calculations!$C31,Fixtures!$D:$D,"&gt;=0"))</f>
        <v>0</v>
      </c>
      <c r="J31">
        <f>IF(Teams!A30="","",H31-I31)</f>
        <v>0</v>
      </c>
      <c r="K31">
        <f>IF(Teams!A30="","",$E31*'Basic data'!$E$2+$G31*'Basic data'!$E$3)</f>
        <v>0</v>
      </c>
      <c r="L31" cm="1">
        <f t="array" ref="L31">IF(Teams!A30="","",SUMPRODUCT((Fixtures!$E:$E=Calculations!$C31)*(Fixtures!$D:$D&gt;Fixtures!$B:$B)))</f>
        <v>0</v>
      </c>
      <c r="M31" cm="1">
        <f t="array" ref="M31">IF(Teams!A30="","",SUMPRODUCT((Fixtures!$E:$E=Calculations!$C31)*(Fixtures!$D:$D&lt;Fixtures!$B:$B)))</f>
        <v>0</v>
      </c>
      <c r="N31" cm="1">
        <f t="array" ref="N31">IF(Teams!A30="","",SUMPRODUCT((Fixtures!$E:$E=Calculations!$C31)*(Fixtures!$D:$D=Fixtures!$B:$B)*(Fixtures!$D:$D&lt;&gt;"")))</f>
        <v>0</v>
      </c>
      <c r="O31">
        <f>IF(Teams!A30="","",SUMIFS(Fixtures!$D:$D,Fixtures!$E:$E,Calculations!$C31,Fixtures!$D:$D,"&gt;=0"))</f>
        <v>0</v>
      </c>
      <c r="P31">
        <f>IF(Teams!A30="","",SUMIFS(Fixtures!$B:$B,Fixtures!$E:$E,Calculations!$C31,Fixtures!$B:$B,"&gt;=0"))</f>
        <v>0</v>
      </c>
      <c r="Q31">
        <f>IF(Teams!A30="","",O31-P31)</f>
        <v>0</v>
      </c>
      <c r="R31">
        <f>IF(Teams!A30="","",$L31*'Basic data'!$E$2+$N31*'Basic data'!$E$3)</f>
        <v>0</v>
      </c>
      <c r="S31">
        <f>IF(Teams!A30="","",J31+Q31)</f>
        <v>0</v>
      </c>
      <c r="T31">
        <f>IF(Teams!A30="","",H31+O31)</f>
        <v>0</v>
      </c>
      <c r="U31">
        <f>IF(Teams!A30="","",K31+R31)</f>
        <v>0</v>
      </c>
      <c r="V31">
        <f>IF(Teams!A30="","",RANK(U31,$U$3:$U$22))</f>
        <v>1</v>
      </c>
      <c r="W31" cm="1">
        <f t="array" ref="W31">IF(Teams!A30="","",SUMPRODUCT(($U$3:$U$22=U31)*($S$3:$S$22&gt;S31)))</f>
        <v>0</v>
      </c>
      <c r="X31" cm="1">
        <f t="array" ref="X31">IF(Teams!A30="","",SUMPRODUCT(($U$3:$U$22=U31)*($S$3:$S$22=S31)*($T$3:$T$22&gt;T31)))</f>
        <v>0</v>
      </c>
    </row>
    <row r="32" spans="1:24" x14ac:dyDescent="0.3">
      <c r="A32" t="str">
        <f>IF(Teams!A31="","",RANK($B32,$B$3:$B$20,1)+COUNTIF($B$3:$B32,$B32)-1)</f>
        <v/>
      </c>
      <c r="B32" t="str">
        <f>IF(Teams!A31="","",V32+W32+X32)</f>
        <v/>
      </c>
      <c r="C32" t="str">
        <f>IF(Teams!A31="","",Teams!A31)</f>
        <v/>
      </c>
      <c r="D32" t="str">
        <f>IF(Teams!A31="","",COUNTIFS(Fixtures!$A:$A,Calculations!$C32,Fixtures!$B:$B,"&gt;=0")+COUNTIFS(Fixtures!$E:$E,Calculations!$C32,Fixtures!$D:$D,"&gt;=0"))</f>
        <v/>
      </c>
      <c r="E32" t="str" cm="1">
        <f t="array" ref="E32">IF(Teams!A31="","",SUMPRODUCT((Fixtures!$A:$A=Calculations!$C32)*(Fixtures!$B:$B&gt;Fixtures!$D:$D)))</f>
        <v/>
      </c>
      <c r="F32" t="str" cm="1">
        <f t="array" ref="F32">IF(Teams!A31="","",SUMPRODUCT((Fixtures!$A:$A=Calculations!$C32)*(Fixtures!$B:$B&lt;Fixtures!$D:$D)))</f>
        <v/>
      </c>
      <c r="G32" t="str" cm="1">
        <f t="array" ref="G32">IF(Teams!A31="","",SUMPRODUCT((Fixtures!$A:$A=Calculations!$C32)*(Fixtures!$B:$B=Fixtures!$D:$D)*(Fixtures!$B:$B&lt;&gt;"")))</f>
        <v/>
      </c>
      <c r="H32" t="str">
        <f>IF(Teams!A31="","",SUMIFS(Fixtures!$B:$B,Fixtures!$A:$A,Calculations!$C32,Fixtures!$B:$B,"&gt;=0"))</f>
        <v/>
      </c>
      <c r="I32" t="str">
        <f>IF(Teams!A31="","",SUMIFS(Fixtures!$D:$D,Fixtures!$A:$A,Calculations!$C32,Fixtures!$D:$D,"&gt;=0"))</f>
        <v/>
      </c>
      <c r="J32" t="str">
        <f>IF(Teams!A31="","",H32-I32)</f>
        <v/>
      </c>
      <c r="K32" t="str">
        <f>IF(Teams!A31="","",$E32*'Basic data'!$E$2+$G32*'Basic data'!$E$3)</f>
        <v/>
      </c>
      <c r="L32" t="str" cm="1">
        <f t="array" ref="L32">IF(Teams!A31="","",SUMPRODUCT((Fixtures!$E:$E=Calculations!$C32)*(Fixtures!$D:$D&gt;Fixtures!$B:$B)))</f>
        <v/>
      </c>
      <c r="M32" t="str" cm="1">
        <f t="array" ref="M32">IF(Teams!A31="","",SUMPRODUCT((Fixtures!$E:$E=Calculations!$C32)*(Fixtures!$D:$D&lt;Fixtures!$B:$B)))</f>
        <v/>
      </c>
      <c r="N32" t="str" cm="1">
        <f t="array" ref="N32">IF(Teams!A31="","",SUMPRODUCT((Fixtures!$E:$E=Calculations!$C32)*(Fixtures!$D:$D=Fixtures!$B:$B)*(Fixtures!$D:$D&lt;&gt;"")))</f>
        <v/>
      </c>
      <c r="O32" t="str">
        <f>IF(Teams!A31="","",SUMIFS(Fixtures!$D:$D,Fixtures!$E:$E,Calculations!$C32,Fixtures!$D:$D,"&gt;=0"))</f>
        <v/>
      </c>
      <c r="P32" t="str">
        <f>IF(Teams!A31="","",SUMIFS(Fixtures!$B:$B,Fixtures!$E:$E,Calculations!$C32,Fixtures!$B:$B,"&gt;=0"))</f>
        <v/>
      </c>
      <c r="Q32" t="str">
        <f>IF(Teams!A31="","",O32-P32)</f>
        <v/>
      </c>
      <c r="R32" t="str">
        <f>IF(Teams!A31="","",$L32*'Basic data'!$E$2+$N32*'Basic data'!$E$3)</f>
        <v/>
      </c>
      <c r="S32" t="str">
        <f>IF(Teams!A31="","",J32+Q32)</f>
        <v/>
      </c>
      <c r="T32" t="str">
        <f>IF(Teams!A31="","",H32+O32)</f>
        <v/>
      </c>
      <c r="U32" t="str">
        <f>IF(Teams!A31="","",K32+R32)</f>
        <v/>
      </c>
      <c r="V32" t="str">
        <f>IF(Teams!A31="","",RANK(U32,$U$3:$U$22))</f>
        <v/>
      </c>
      <c r="W32" t="str" cm="1">
        <f t="array" ref="W32">IF(Teams!A31="","",SUMPRODUCT(($U$3:$U$22=U32)*($S$3:$S$22&gt;S32)))</f>
        <v/>
      </c>
      <c r="X32" t="str" cm="1">
        <f t="array" ref="X32">IF(Teams!A31="","",SUMPRODUCT(($U$3:$U$22=U32)*($S$3:$S$22=S32)*($T$3:$T$22&gt;T32)))</f>
        <v/>
      </c>
    </row>
    <row r="33" spans="1:24" x14ac:dyDescent="0.3">
      <c r="A33" t="str">
        <f>IF(Teams!A32="","",RANK($B33,$B$3:$B$20,1)+COUNTIF($B$3:$B33,$B33)-1)</f>
        <v/>
      </c>
      <c r="B33" t="str">
        <f>IF(Teams!A32="","",V33+W33+X33)</f>
        <v/>
      </c>
      <c r="C33" t="str">
        <f>IF(Teams!A32="","",Teams!A32)</f>
        <v/>
      </c>
      <c r="D33" t="str">
        <f>IF(Teams!A32="","",COUNTIFS(Fixtures!$A:$A,Calculations!$C33,Fixtures!$B:$B,"&gt;=0")+COUNTIFS(Fixtures!$E:$E,Calculations!$C33,Fixtures!$D:$D,"&gt;=0"))</f>
        <v/>
      </c>
      <c r="E33" t="str" cm="1">
        <f t="array" ref="E33">IF(Teams!A32="","",SUMPRODUCT((Fixtures!$A:$A=Calculations!$C33)*(Fixtures!$B:$B&gt;Fixtures!$D:$D)))</f>
        <v/>
      </c>
      <c r="F33" t="str" cm="1">
        <f t="array" ref="F33">IF(Teams!A32="","",SUMPRODUCT((Fixtures!$A:$A=Calculations!$C33)*(Fixtures!$B:$B&lt;Fixtures!$D:$D)))</f>
        <v/>
      </c>
      <c r="G33" t="str" cm="1">
        <f t="array" ref="G33">IF(Teams!A32="","",SUMPRODUCT((Fixtures!$A:$A=Calculations!$C33)*(Fixtures!$B:$B=Fixtures!$D:$D)*(Fixtures!$B:$B&lt;&gt;"")))</f>
        <v/>
      </c>
      <c r="H33" t="str">
        <f>IF(Teams!A32="","",SUMIFS(Fixtures!$B:$B,Fixtures!$A:$A,Calculations!$C33,Fixtures!$B:$B,"&gt;=0"))</f>
        <v/>
      </c>
      <c r="I33" t="str">
        <f>IF(Teams!A32="","",SUMIFS(Fixtures!$D:$D,Fixtures!$A:$A,Calculations!$C33,Fixtures!$D:$D,"&gt;=0"))</f>
        <v/>
      </c>
      <c r="J33" t="str">
        <f>IF(Teams!A32="","",H33-I33)</f>
        <v/>
      </c>
      <c r="K33" t="str">
        <f>IF(Teams!A32="","",$E33*'Basic data'!$E$2+$G33*'Basic data'!$E$3)</f>
        <v/>
      </c>
      <c r="L33" t="str" cm="1">
        <f t="array" ref="L33">IF(Teams!A32="","",SUMPRODUCT((Fixtures!$E:$E=Calculations!$C33)*(Fixtures!$D:$D&gt;Fixtures!$B:$B)))</f>
        <v/>
      </c>
      <c r="M33" t="str" cm="1">
        <f t="array" ref="M33">IF(Teams!A32="","",SUMPRODUCT((Fixtures!$E:$E=Calculations!$C33)*(Fixtures!$D:$D&lt;Fixtures!$B:$B)))</f>
        <v/>
      </c>
      <c r="N33" t="str" cm="1">
        <f t="array" ref="N33">IF(Teams!A32="","",SUMPRODUCT((Fixtures!$E:$E=Calculations!$C33)*(Fixtures!$D:$D=Fixtures!$B:$B)*(Fixtures!$D:$D&lt;&gt;"")))</f>
        <v/>
      </c>
      <c r="O33" t="str">
        <f>IF(Teams!A32="","",SUMIFS(Fixtures!$D:$D,Fixtures!$E:$E,Calculations!$C33,Fixtures!$D:$D,"&gt;=0"))</f>
        <v/>
      </c>
      <c r="P33" t="str">
        <f>IF(Teams!A32="","",SUMIFS(Fixtures!$B:$B,Fixtures!$E:$E,Calculations!$C33,Fixtures!$B:$B,"&gt;=0"))</f>
        <v/>
      </c>
      <c r="Q33" t="str">
        <f>IF(Teams!A32="","",O33-P33)</f>
        <v/>
      </c>
      <c r="R33" t="str">
        <f>IF(Teams!A32="","",$L33*'Basic data'!$E$2+$N33*'Basic data'!$E$3)</f>
        <v/>
      </c>
      <c r="S33" t="str">
        <f>IF(Teams!A32="","",J33+Q33)</f>
        <v/>
      </c>
      <c r="T33" t="str">
        <f>IF(Teams!A32="","",H33+O33)</f>
        <v/>
      </c>
      <c r="U33" t="str">
        <f>IF(Teams!A32="","",K33+R33)</f>
        <v/>
      </c>
      <c r="V33" t="str">
        <f>IF(Teams!A32="","",RANK(U33,$U$3:$U$22))</f>
        <v/>
      </c>
      <c r="W33" t="str" cm="1">
        <f t="array" ref="W33">IF(Teams!A32="","",SUMPRODUCT(($U$3:$U$22=U33)*($S$3:$S$22&gt;S33)))</f>
        <v/>
      </c>
      <c r="X33" t="str" cm="1">
        <f t="array" ref="X33">IF(Teams!A32="","",SUMPRODUCT(($U$3:$U$22=U33)*($S$3:$S$22=S33)*($T$3:$T$22&gt;T33)))</f>
        <v/>
      </c>
    </row>
    <row r="34" spans="1:24" x14ac:dyDescent="0.3">
      <c r="A34" t="str">
        <f>IF(Teams!A33="","",RANK($B34,$B$3:$B$20,1)+COUNTIF($B$3:$B34,$B34)-1)</f>
        <v/>
      </c>
      <c r="B34" t="str">
        <f>IF(Teams!A33="","",V34+W34+X34)</f>
        <v/>
      </c>
      <c r="C34" t="str">
        <f>IF(Teams!A33="","",Teams!A33)</f>
        <v/>
      </c>
      <c r="D34" t="str">
        <f>IF(Teams!A33="","",COUNTIFS(Fixtures!$A:$A,Calculations!$C34,Fixtures!$B:$B,"&gt;=0")+COUNTIFS(Fixtures!$E:$E,Calculations!$C34,Fixtures!$D:$D,"&gt;=0"))</f>
        <v/>
      </c>
      <c r="E34" t="str" cm="1">
        <f t="array" ref="E34">IF(Teams!A33="","",SUMPRODUCT((Fixtures!$A:$A=Calculations!$C34)*(Fixtures!$B:$B&gt;Fixtures!$D:$D)))</f>
        <v/>
      </c>
      <c r="F34" t="str" cm="1">
        <f t="array" ref="F34">IF(Teams!A33="","",SUMPRODUCT((Fixtures!$A:$A=Calculations!$C34)*(Fixtures!$B:$B&lt;Fixtures!$D:$D)))</f>
        <v/>
      </c>
      <c r="G34" t="str" cm="1">
        <f t="array" ref="G34">IF(Teams!A33="","",SUMPRODUCT((Fixtures!$A:$A=Calculations!$C34)*(Fixtures!$B:$B=Fixtures!$D:$D)*(Fixtures!$B:$B&lt;&gt;"")))</f>
        <v/>
      </c>
      <c r="H34" t="str">
        <f>IF(Teams!A33="","",SUMIFS(Fixtures!$B:$B,Fixtures!$A:$A,Calculations!$C34,Fixtures!$B:$B,"&gt;=0"))</f>
        <v/>
      </c>
      <c r="I34" t="str">
        <f>IF(Teams!A33="","",SUMIFS(Fixtures!$D:$D,Fixtures!$A:$A,Calculations!$C34,Fixtures!$D:$D,"&gt;=0"))</f>
        <v/>
      </c>
      <c r="J34" t="str">
        <f>IF(Teams!A33="","",H34-I34)</f>
        <v/>
      </c>
      <c r="K34" t="str">
        <f>IF(Teams!A33="","",$E34*'Basic data'!$E$2+$G34*'Basic data'!$E$3)</f>
        <v/>
      </c>
      <c r="L34" t="str" cm="1">
        <f t="array" ref="L34">IF(Teams!A33="","",SUMPRODUCT((Fixtures!$E:$E=Calculations!$C34)*(Fixtures!$D:$D&gt;Fixtures!$B:$B)))</f>
        <v/>
      </c>
      <c r="N34" t="str" cm="1">
        <f t="array" ref="N34">IF(Teams!A33="","",SUMPRODUCT((Fixtures!$E:$E=Calculations!$C34)*(Fixtures!$D:$D=Fixtures!$B:$B)*(Fixtures!$D:$D&lt;&gt;"")))</f>
        <v/>
      </c>
      <c r="O34" t="str">
        <f>IF(Teams!A33="","",SUMIFS(Fixtures!$D:$D,Fixtures!$E:$E,Calculations!$C34,Fixtures!$D:$D,"&gt;=0"))</f>
        <v/>
      </c>
      <c r="P34" t="str">
        <f>IF(Teams!A33="","",SUMIFS(Fixtures!$B:$B,Fixtures!$E:$E,Calculations!$C34,Fixtures!$B:$B,"&gt;=0"))</f>
        <v/>
      </c>
      <c r="Q34" t="str">
        <f>IF(Teams!A33="","",O34-P34)</f>
        <v/>
      </c>
      <c r="R34" t="str">
        <f>IF(Teams!A33="","",$L34*'Basic data'!$E$2+$N34*'Basic data'!$E$3)</f>
        <v/>
      </c>
      <c r="S34" t="str">
        <f>IF(Teams!A33="","",J34+Q34)</f>
        <v/>
      </c>
      <c r="T34" t="str">
        <f>IF(Teams!A33="","",H34+O34)</f>
        <v/>
      </c>
      <c r="U34" t="str">
        <f>IF(Teams!A33="","",K34+R34)</f>
        <v/>
      </c>
      <c r="V34" t="str">
        <f>IF(Teams!A33="","",RANK(U34,$U$3:$U$22))</f>
        <v/>
      </c>
      <c r="W34" t="str" cm="1">
        <f t="array" ref="W34">IF(Teams!A33="","",SUMPRODUCT(($U$3:$U$22=U34)*($S$3:$S$22&gt;S34)))</f>
        <v/>
      </c>
      <c r="X34" t="str" cm="1">
        <f t="array" ref="X34">IF(Teams!A33="","",SUMPRODUCT(($U$3:$U$22=U34)*($S$3:$S$22=S34)*($T$3:$T$22&gt;T34)))</f>
        <v/>
      </c>
    </row>
    <row r="35" spans="1:24" x14ac:dyDescent="0.3">
      <c r="I35" t="str">
        <f>IF(Teams!A34="","",SUMIFS(Fixtures!$D:$D,Fixtures!$A:$A,Calculations!$C35,Fixtures!$D:$D,"&gt;=0"))</f>
        <v/>
      </c>
      <c r="J35" t="str">
        <f>IF(Teams!A34="","",H35-I35)</f>
        <v/>
      </c>
      <c r="K35" t="str">
        <f>IF(Teams!A34="","",$E35*'Basic data'!$E$2+$G35*'Basic data'!$E$3)</f>
        <v/>
      </c>
      <c r="L35" t="str" cm="1">
        <f t="array" ref="L35">IF(Teams!A34="","",SUMPRODUCT((Fixtures!$E:$E=Calculations!$C35)*(Fixtures!$D:$D&gt;Fixtures!$B:$B)))</f>
        <v/>
      </c>
      <c r="N35" t="str" cm="1">
        <f t="array" ref="N35">IF(Teams!A34="","",SUMPRODUCT((Fixtures!$E:$E=Calculations!$C35)*(Fixtures!$D:$D=Fixtures!$B:$B)*(Fixtures!$D:$D&lt;&gt;"")))</f>
        <v/>
      </c>
      <c r="O35" t="str">
        <f>IF(Teams!A34="","",SUMIFS(Fixtures!$D:$D,Fixtures!$E:$E,Calculations!$C35,Fixtures!$D:$D,"&gt;=0"))</f>
        <v/>
      </c>
      <c r="P35" t="str">
        <f>IF(Teams!A34="","",SUMIFS(Fixtures!$B:$B,Fixtures!$E:$E,Calculations!$C35,Fixtures!$B:$B,"&gt;=0"))</f>
        <v/>
      </c>
      <c r="Q35" t="str">
        <f>IF(Teams!A34="","",O35-P35)</f>
        <v/>
      </c>
      <c r="R35" t="str">
        <f>IF(Teams!A34="","",$L35*'Basic data'!$E$2+$N35*'Basic data'!$E$3)</f>
        <v/>
      </c>
      <c r="S35" t="str">
        <f>IF(Teams!A34="","",J35+Q35)</f>
        <v/>
      </c>
      <c r="T35" t="str">
        <f>IF(Teams!A34="","",H35+O35)</f>
        <v/>
      </c>
      <c r="U35" t="str">
        <f>IF(Teams!A34="","",K35+R35)</f>
        <v/>
      </c>
      <c r="V35" t="str">
        <f>IF(Teams!A34="","",RANK(U35,$U$3:$U$22))</f>
        <v/>
      </c>
      <c r="W35" t="str" cm="1">
        <f t="array" ref="W35">IF(Teams!A34="","",SUMPRODUCT(($U$3:$U$22=U35)*($S$3:$S$22&gt;S35)))</f>
        <v/>
      </c>
      <c r="X35" t="str" cm="1">
        <f t="array" ref="X35">IF(Teams!A34="","",SUMPRODUCT(($U$3:$U$22=U35)*($S$3:$S$22=S35)*($T$3:$T$22&gt;T35)))</f>
        <v/>
      </c>
    </row>
    <row r="36" spans="1:24" x14ac:dyDescent="0.3">
      <c r="I36" t="str">
        <f>IF(Teams!A35="","",SUMIFS(Fixtures!$D:$D,Fixtures!$A:$A,Calculations!$C36,Fixtures!$D:$D,"&gt;=0"))</f>
        <v/>
      </c>
      <c r="J36" t="str">
        <f>IF(Teams!A35="","",H36-I36)</f>
        <v/>
      </c>
      <c r="K36" t="str">
        <f>IF(Teams!A35="","",$E36*'Basic data'!$E$2+$G36*'Basic data'!$E$3)</f>
        <v/>
      </c>
      <c r="L36" t="str" cm="1">
        <f t="array" ref="L36">IF(Teams!A35="","",SUMPRODUCT((Fixtures!$E:$E=Calculations!$C36)*(Fixtures!$D:$D&gt;Fixtures!$B:$B)))</f>
        <v/>
      </c>
      <c r="N36" t="str" cm="1">
        <f t="array" ref="N36">IF(Teams!A35="","",SUMPRODUCT((Fixtures!$E:$E=Calculations!$C36)*(Fixtures!$D:$D=Fixtures!$B:$B)*(Fixtures!$D:$D&lt;&gt;"")))</f>
        <v/>
      </c>
      <c r="O36" t="str">
        <f>IF(Teams!A35="","",SUMIFS(Fixtures!$D:$D,Fixtures!$E:$E,Calculations!$C36,Fixtures!$D:$D,"&gt;=0"))</f>
        <v/>
      </c>
      <c r="P36" t="str">
        <f>IF(Teams!A35="","",SUMIFS(Fixtures!$B:$B,Fixtures!$E:$E,Calculations!$C36,Fixtures!$B:$B,"&gt;=0"))</f>
        <v/>
      </c>
      <c r="Q36" t="str">
        <f>IF(Teams!A35="","",O36-P36)</f>
        <v/>
      </c>
      <c r="R36" t="str">
        <f>IF(Teams!A35="","",$L36*'Basic data'!$E$2+$N36*'Basic data'!$E$3)</f>
        <v/>
      </c>
      <c r="S36" t="str">
        <f>IF(Teams!A35="","",J36+Q36)</f>
        <v/>
      </c>
      <c r="T36" t="str">
        <f>IF(Teams!A35="","",H36+O36)</f>
        <v/>
      </c>
      <c r="U36" t="str">
        <f>IF(Teams!A35="","",K36+R36)</f>
        <v/>
      </c>
      <c r="V36" t="str">
        <f>IF(Teams!A35="","",RANK(U36,$U$3:$U$22))</f>
        <v/>
      </c>
      <c r="W36" t="str" cm="1">
        <f t="array" ref="W36">IF(Teams!A35="","",SUMPRODUCT(($U$3:$U$22=U36)*($S$3:$S$22&gt;S36)))</f>
        <v/>
      </c>
      <c r="X36" t="str" cm="1">
        <f t="array" ref="X36">IF(Teams!A35="","",SUMPRODUCT(($U$3:$U$22=U36)*($S$3:$S$22=S36)*($T$3:$T$22&gt;T36)))</f>
        <v/>
      </c>
    </row>
    <row r="37" spans="1:24" x14ac:dyDescent="0.3">
      <c r="J37">
        <f>IF(Teams!A26="","",H37-I37)</f>
        <v>0</v>
      </c>
      <c r="K37">
        <f>IF(Teams!A26="","",$E37*'Basic data'!$E$2+$G37*'Basic data'!$E$3)</f>
        <v>0</v>
      </c>
      <c r="L37" cm="1">
        <f t="array" ref="L37">IF(Teams!A26="","",SUMPRODUCT((Fixtures!$E:$E=Calculations!$C37)*(Fixtures!$D:$D&gt;Fixtures!$B:$B)))</f>
        <v>0</v>
      </c>
      <c r="N37" cm="1">
        <f t="array" ref="N37">IF(Teams!A26="","",SUMPRODUCT((Fixtures!$E:$E=Calculations!$C37)*(Fixtures!$D:$D=Fixtures!$B:$B)*(Fixtures!$D:$D&lt;&gt;"")))</f>
        <v>0</v>
      </c>
      <c r="O37">
        <f>IF(Teams!A26="","",SUMIFS(Fixtures!$D:$D,Fixtures!$E:$E,Calculations!$C37,Fixtures!$D:$D,"&gt;=0"))</f>
        <v>0</v>
      </c>
      <c r="P37">
        <f>IF(Teams!A26="","",SUMIFS(Fixtures!$B:$B,Fixtures!$E:$E,Calculations!$C37,Fixtures!$B:$B,"&gt;=0"))</f>
        <v>0</v>
      </c>
      <c r="Q37">
        <f>IF(Teams!A26="","",O37-P37)</f>
        <v>0</v>
      </c>
      <c r="R37">
        <f>IF(Teams!A26="","",$L37*'Basic data'!$E$2+$N37*'Basic data'!$E$3)</f>
        <v>0</v>
      </c>
      <c r="S37">
        <f>IF(Teams!A26="","",J37+Q37)</f>
        <v>0</v>
      </c>
      <c r="T37">
        <f>IF(Teams!A26="","",H37+O37)</f>
        <v>0</v>
      </c>
      <c r="U37">
        <f>IF(Teams!A26="","",K37+R37)</f>
        <v>0</v>
      </c>
      <c r="V37">
        <f>IF(Teams!A26="","",RANK(U37,$U$3:$U$22))</f>
        <v>1</v>
      </c>
      <c r="W37" cm="1">
        <f t="array" ref="W37">IF(Teams!A26="","",SUMPRODUCT(($U$3:$U$22=U37)*($S$3:$S$22&gt;S37)))</f>
        <v>0</v>
      </c>
      <c r="X37" cm="1">
        <f t="array" ref="X37">IF(Teams!A26="","",SUMPRODUCT(($U$3:$U$22=U37)*($S$3:$S$22=S37)*($T$3:$T$22&gt;T37)))</f>
        <v>0</v>
      </c>
    </row>
    <row r="38" spans="1:24" x14ac:dyDescent="0.3">
      <c r="K38" t="str">
        <f>IF(Teams!A37="","",$E38*'Basic data'!$E$2+$G38*'Basic data'!$E$3)</f>
        <v/>
      </c>
      <c r="L38" t="str" cm="1">
        <f t="array" ref="L38">IF(Teams!A37="","",SUMPRODUCT((Fixtures!$E:$E=Calculations!$C38)*(Fixtures!$D:$D&gt;Fixtures!$B:$B)))</f>
        <v/>
      </c>
      <c r="N38" t="str" cm="1">
        <f t="array" ref="N38">IF(Teams!A37="","",SUMPRODUCT((Fixtures!$E:$E=Calculations!$C38)*(Fixtures!$D:$D=Fixtures!$B:$B)*(Fixtures!$D:$D&lt;&gt;"")))</f>
        <v/>
      </c>
      <c r="O38" t="str">
        <f>IF(Teams!A37="","",SUMIFS(Fixtures!$D:$D,Fixtures!$E:$E,Calculations!$C38,Fixtures!$D:$D,"&gt;=0"))</f>
        <v/>
      </c>
      <c r="R38" t="str">
        <f>IF(Teams!A37="","",$L38*'Basic data'!$E$2+$N38*'Basic data'!$E$3)</f>
        <v/>
      </c>
      <c r="S38" t="str">
        <f>IF(Teams!A37="","",J38+Q38)</f>
        <v/>
      </c>
      <c r="T38" t="str">
        <f>IF(Teams!A37="","",H38+O38)</f>
        <v/>
      </c>
      <c r="U38" t="str">
        <f>IF(Teams!A37="","",K38+R38)</f>
        <v/>
      </c>
      <c r="V38" t="str">
        <f>IF(Teams!A37="","",RANK(U38,$U$3:$U$22))</f>
        <v/>
      </c>
      <c r="X38" t="str" cm="1">
        <f t="array" ref="X38">IF(Teams!A37="","",SUMPRODUCT(($U$3:$U$22=U38)*($S$3:$S$22=S38)*($T$3:$T$22&gt;T38)))</f>
        <v/>
      </c>
    </row>
    <row r="39" spans="1:24" x14ac:dyDescent="0.3">
      <c r="O39" t="str">
        <f>IF(Teams!A38="","",SUMIFS(Fixtures!$D:$D,Fixtures!$E:$E,Calculations!$C39,Fixtures!$D:$D,"&gt;=0"))</f>
        <v/>
      </c>
      <c r="S39" t="str">
        <f>IF(Teams!A38="","",J39+Q39)</f>
        <v/>
      </c>
      <c r="T39" t="str">
        <f>IF(Teams!A38="","",H39+O39)</f>
        <v/>
      </c>
      <c r="V39" t="str">
        <f>IF(Teams!A38="","",RANK(U39,$U$3:$U$22))</f>
        <v/>
      </c>
      <c r="X39" t="str" cm="1">
        <f t="array" ref="X39">IF(Teams!A38="","",SUMPRODUCT(($U$3:$U$22=U39)*($S$3:$S$22=S39)*($T$3:$T$22&gt;T39)))</f>
        <v/>
      </c>
    </row>
    <row r="40" spans="1:24" x14ac:dyDescent="0.3">
      <c r="O40" t="str">
        <f>IF(Teams!A39="","",SUMIFS(Fixtures!$D:$D,Fixtures!$E:$E,Calculations!$C40,Fixtures!$D:$D,"&gt;=0"))</f>
        <v/>
      </c>
      <c r="V40" t="str">
        <f>IF(Teams!A39="","",RANK(U40,$U$3:$U$22))</f>
        <v/>
      </c>
    </row>
  </sheetData>
  <mergeCells count="2">
    <mergeCell ref="E1:K1"/>
    <mergeCell ref="L1:R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BEB0-6407-43AF-AB46-6C2369B31FBD}">
  <sheetPr codeName="Sheet10"/>
  <dimension ref="A1:Q43"/>
  <sheetViews>
    <sheetView showGridLines="0" workbookViewId="0">
      <selection activeCell="B3" sqref="B3"/>
    </sheetView>
  </sheetViews>
  <sheetFormatPr defaultRowHeight="14.4" x14ac:dyDescent="0.3"/>
  <cols>
    <col min="2" max="2" width="21.5546875" bestFit="1" customWidth="1"/>
    <col min="3" max="15" width="5.6640625" customWidth="1"/>
  </cols>
  <sheetData>
    <row r="1" spans="1:17" x14ac:dyDescent="0.3">
      <c r="D1" s="17" t="s">
        <v>17</v>
      </c>
      <c r="E1" s="17"/>
      <c r="F1" s="17"/>
      <c r="G1" s="17"/>
      <c r="H1" s="17"/>
      <c r="I1" s="16" t="s">
        <v>18</v>
      </c>
      <c r="J1" s="16"/>
      <c r="K1" s="16"/>
      <c r="L1" s="16"/>
      <c r="M1" s="16"/>
      <c r="N1" s="6"/>
      <c r="O1" s="6"/>
    </row>
    <row r="2" spans="1:17" x14ac:dyDescent="0.3">
      <c r="A2" s="7" t="s">
        <v>19</v>
      </c>
      <c r="B2" s="7" t="s">
        <v>20</v>
      </c>
      <c r="C2" s="7" t="s">
        <v>21</v>
      </c>
      <c r="D2" s="7" t="s">
        <v>22</v>
      </c>
      <c r="E2" s="7" t="s">
        <v>23</v>
      </c>
      <c r="F2" s="7" t="s">
        <v>24</v>
      </c>
      <c r="G2" s="7" t="s">
        <v>25</v>
      </c>
      <c r="H2" s="7" t="s">
        <v>26</v>
      </c>
      <c r="I2" s="7" t="s">
        <v>22</v>
      </c>
      <c r="J2" s="7" t="s">
        <v>23</v>
      </c>
      <c r="K2" s="7" t="s">
        <v>24</v>
      </c>
      <c r="L2" s="7" t="s">
        <v>25</v>
      </c>
      <c r="M2" s="7" t="s">
        <v>26</v>
      </c>
      <c r="N2" s="7" t="s">
        <v>27</v>
      </c>
      <c r="O2" s="7" t="s">
        <v>28</v>
      </c>
    </row>
    <row r="3" spans="1:17" x14ac:dyDescent="0.3">
      <c r="A3">
        <f>IF(Calculations!$C3="","",ROW($B3)-2)</f>
        <v>1</v>
      </c>
      <c r="B3" t="str">
        <f>IF(Calculations!$C3="","",VLOOKUP(SMALL(Calculations!$A$3:$A$34,A3),Calculations!$A$3:$C$34,3,FALSE))</f>
        <v>Team 1</v>
      </c>
      <c r="C3">
        <f>IF(Calculations!$C3="","",VLOOKUP($B3,Calculations!$C$3:$T$31,2,FALSE))</f>
        <v>0</v>
      </c>
      <c r="D3">
        <f>IF(Calculations!$C3="","",VLOOKUP($B3,Calculations!$C$3:$T$31,3,FALSE))</f>
        <v>0</v>
      </c>
      <c r="E3">
        <f>IF(Calculations!$C3="","",VLOOKUP($B3,Calculations!$C$3:$T$31,4,FALSE))</f>
        <v>0</v>
      </c>
      <c r="F3">
        <f>IF(Calculations!$C3="","",VLOOKUP($B3,Calculations!$C$3:$T$31,5,FALSE))</f>
        <v>0</v>
      </c>
      <c r="G3">
        <f>IF(Calculations!$C3="","",VLOOKUP($B3,Calculations!$C$3:$T$31,6,FALSE))</f>
        <v>0</v>
      </c>
      <c r="H3">
        <f>IF(Calculations!$C3="","",VLOOKUP($B3,Calculations!$C$3:$T$31,7,FALSE))</f>
        <v>0</v>
      </c>
      <c r="I3">
        <f>IF(Calculations!$C3="","",VLOOKUP($B3,Calculations!$C$3:$T$31,10,FALSE))</f>
        <v>0</v>
      </c>
      <c r="J3">
        <f>IF(Calculations!$C3="","",VLOOKUP($B3,Calculations!$C$3:$T$31,11,FALSE))</f>
        <v>0</v>
      </c>
      <c r="K3">
        <f>IF(Calculations!$C3="","",VLOOKUP($B3,Calculations!$C$3:$T$31,12,FALSE))</f>
        <v>0</v>
      </c>
      <c r="L3">
        <f>IF(Calculations!$C3="","",VLOOKUP($B3,Calculations!$C$3:$T$31,13,FALSE))</f>
        <v>0</v>
      </c>
      <c r="M3">
        <f>IF(Calculations!$C3="","",VLOOKUP($B3,Calculations!$C$3:$T$31,14,FALSE))</f>
        <v>0</v>
      </c>
      <c r="N3">
        <f>IF(Calculations!$C3="","",VLOOKUP($B3,Calculations!$C$3:$T$31,17,FALSE))</f>
        <v>0</v>
      </c>
      <c r="O3">
        <f>IF(Calculations!$C3="","",VLOOKUP($B3,Calculations!$C$3:$U$31,19,FALSE))</f>
        <v>0</v>
      </c>
    </row>
    <row r="4" spans="1:17" x14ac:dyDescent="0.3">
      <c r="A4">
        <f>IF(Calculations!$C4="","",ROW($B4)-2)</f>
        <v>2</v>
      </c>
      <c r="B4" t="str">
        <f>IF(Calculations!$C4="","",VLOOKUP(SMALL(Calculations!$A$3:$A$34,A4),Calculations!$A$3:$C$34,3,FALSE))</f>
        <v>Team 2</v>
      </c>
      <c r="C4">
        <f>IF(Calculations!$C4="","",VLOOKUP($B4,Calculations!$C$3:$T$31,2,FALSE))</f>
        <v>0</v>
      </c>
      <c r="D4">
        <f>IF(Calculations!$C4="","",VLOOKUP($B4,Calculations!$C$3:$T$31,3,FALSE))</f>
        <v>0</v>
      </c>
      <c r="E4">
        <f>IF(Calculations!$C4="","",VLOOKUP($B4,Calculations!$C$3:$T$31,4,FALSE))</f>
        <v>0</v>
      </c>
      <c r="F4">
        <f>IF(Calculations!$C4="","",VLOOKUP($B4,Calculations!$C$3:$T$31,5,FALSE))</f>
        <v>0</v>
      </c>
      <c r="G4">
        <f>IF(Calculations!$C4="","",VLOOKUP($B4,Calculations!$C$3:$T$31,6,FALSE))</f>
        <v>0</v>
      </c>
      <c r="H4">
        <f>IF(Calculations!$C4="","",VLOOKUP($B4,Calculations!$C$3:$T$31,7,FALSE))</f>
        <v>0</v>
      </c>
      <c r="I4">
        <f>IF(Calculations!$C4="","",VLOOKUP($B4,Calculations!$C$3:$T$31,10,FALSE))</f>
        <v>0</v>
      </c>
      <c r="J4">
        <f>IF(Calculations!$C4="","",VLOOKUP($B4,Calculations!$C$3:$T$31,11,FALSE))</f>
        <v>0</v>
      </c>
      <c r="K4">
        <f>IF(Calculations!$C4="","",VLOOKUP($B4,Calculations!$C$3:$T$31,12,FALSE))</f>
        <v>0</v>
      </c>
      <c r="L4">
        <f>IF(Calculations!$C4="","",VLOOKUP($B4,Calculations!$C$3:$T$31,13,FALSE))</f>
        <v>0</v>
      </c>
      <c r="M4">
        <f>IF(Calculations!$C4="","",VLOOKUP($B4,Calculations!$C$3:$T$31,14,FALSE))</f>
        <v>0</v>
      </c>
      <c r="N4">
        <f>IF(Calculations!$C4="","",VLOOKUP($B4,Calculations!$C$3:$T$31,17,FALSE))</f>
        <v>0</v>
      </c>
      <c r="O4">
        <f>IF(Calculations!$C4="","",VLOOKUP($B4,Calculations!$C$3:$U$31,19,FALSE))</f>
        <v>0</v>
      </c>
      <c r="P4" s="6"/>
      <c r="Q4" s="8"/>
    </row>
    <row r="5" spans="1:17" x14ac:dyDescent="0.3">
      <c r="A5">
        <f>IF(Calculations!$C5="","",ROW($B5)-2)</f>
        <v>3</v>
      </c>
      <c r="B5" t="str">
        <f>IF(Calculations!$C5="","",VLOOKUP(SMALL(Calculations!$A$3:$A$34,A5),Calculations!$A$3:$C$34,3,FALSE))</f>
        <v>Team 3</v>
      </c>
      <c r="C5">
        <f>IF(Calculations!$C5="","",VLOOKUP($B5,Calculations!$C$3:$T$31,2,FALSE))</f>
        <v>0</v>
      </c>
      <c r="D5">
        <f>IF(Calculations!$C5="","",VLOOKUP($B5,Calculations!$C$3:$T$31,3,FALSE))</f>
        <v>0</v>
      </c>
      <c r="E5">
        <f>IF(Calculations!$C5="","",VLOOKUP($B5,Calculations!$C$3:$T$31,4,FALSE))</f>
        <v>0</v>
      </c>
      <c r="F5">
        <f>IF(Calculations!$C5="","",VLOOKUP($B5,Calculations!$C$3:$T$31,5,FALSE))</f>
        <v>0</v>
      </c>
      <c r="G5">
        <f>IF(Calculations!$C5="","",VLOOKUP($B5,Calculations!$C$3:$T$31,6,FALSE))</f>
        <v>0</v>
      </c>
      <c r="H5">
        <f>IF(Calculations!$C5="","",VLOOKUP($B5,Calculations!$C$3:$T$31,7,FALSE))</f>
        <v>0</v>
      </c>
      <c r="I5">
        <f>IF(Calculations!$C5="","",VLOOKUP($B5,Calculations!$C$3:$T$31,10,FALSE))</f>
        <v>0</v>
      </c>
      <c r="J5">
        <f>IF(Calculations!$C5="","",VLOOKUP($B5,Calculations!$C$3:$T$31,11,FALSE))</f>
        <v>0</v>
      </c>
      <c r="K5">
        <f>IF(Calculations!$C5="","",VLOOKUP($B5,Calculations!$C$3:$T$31,12,FALSE))</f>
        <v>0</v>
      </c>
      <c r="L5">
        <f>IF(Calculations!$C5="","",VLOOKUP($B5,Calculations!$C$3:$T$31,13,FALSE))</f>
        <v>0</v>
      </c>
      <c r="M5">
        <f>IF(Calculations!$C5="","",VLOOKUP($B5,Calculations!$C$3:$T$31,14,FALSE))</f>
        <v>0</v>
      </c>
      <c r="N5">
        <f>IF(Calculations!$C5="","",VLOOKUP($B5,Calculations!$C$3:$T$31,17,FALSE))</f>
        <v>0</v>
      </c>
      <c r="O5">
        <f>IF(Calculations!$C5="","",VLOOKUP($B5,Calculations!$C$3:$U$31,19,FALSE))</f>
        <v>0</v>
      </c>
      <c r="P5" s="1"/>
    </row>
    <row r="6" spans="1:17" x14ac:dyDescent="0.3">
      <c r="A6">
        <f>IF(Calculations!$C6="","",ROW($B6)-2)</f>
        <v>4</v>
      </c>
      <c r="B6" t="str">
        <f>IF(Calculations!$C6="","",VLOOKUP(SMALL(Calculations!$A$3:$A$34,A6),Calculations!$A$3:$C$34,3,FALSE))</f>
        <v>Team 4</v>
      </c>
      <c r="C6">
        <f>IF(Calculations!$C6="","",VLOOKUP($B6,Calculations!$C$3:$T$31,2,FALSE))</f>
        <v>0</v>
      </c>
      <c r="D6">
        <f>IF(Calculations!$C6="","",VLOOKUP($B6,Calculations!$C$3:$T$31,3,FALSE))</f>
        <v>0</v>
      </c>
      <c r="E6">
        <f>IF(Calculations!$C6="","",VLOOKUP($B6,Calculations!$C$3:$T$31,4,FALSE))</f>
        <v>0</v>
      </c>
      <c r="F6">
        <f>IF(Calculations!$C6="","",VLOOKUP($B6,Calculations!$C$3:$T$31,5,FALSE))</f>
        <v>0</v>
      </c>
      <c r="G6">
        <f>IF(Calculations!$C6="","",VLOOKUP($B6,Calculations!$C$3:$T$31,6,FALSE))</f>
        <v>0</v>
      </c>
      <c r="H6">
        <f>IF(Calculations!$C6="","",VLOOKUP($B6,Calculations!$C$3:$T$31,7,FALSE))</f>
        <v>0</v>
      </c>
      <c r="I6">
        <f>IF(Calculations!$C6="","",VLOOKUP($B6,Calculations!$C$3:$T$31,10,FALSE))</f>
        <v>0</v>
      </c>
      <c r="J6">
        <f>IF(Calculations!$C6="","",VLOOKUP($B6,Calculations!$C$3:$T$31,11,FALSE))</f>
        <v>0</v>
      </c>
      <c r="K6">
        <f>IF(Calculations!$C6="","",VLOOKUP($B6,Calculations!$C$3:$T$31,12,FALSE))</f>
        <v>0</v>
      </c>
      <c r="L6">
        <f>IF(Calculations!$C6="","",VLOOKUP($B6,Calculations!$C$3:$T$31,13,FALSE))</f>
        <v>0</v>
      </c>
      <c r="M6">
        <f>IF(Calculations!$C6="","",VLOOKUP($B6,Calculations!$C$3:$T$31,14,FALSE))</f>
        <v>0</v>
      </c>
      <c r="N6">
        <f>IF(Calculations!$C6="","",VLOOKUP($B6,Calculations!$C$3:$T$31,17,FALSE))</f>
        <v>0</v>
      </c>
      <c r="O6">
        <f>IF(Calculations!$C6="","",VLOOKUP($B6,Calculations!$C$3:$U$31,19,FALSE))</f>
        <v>0</v>
      </c>
    </row>
    <row r="7" spans="1:17" x14ac:dyDescent="0.3">
      <c r="A7">
        <f>IF(Calculations!$C7="","",ROW($B7)-2)</f>
        <v>5</v>
      </c>
      <c r="B7" t="str">
        <f>IF(Calculations!$C7="","",VLOOKUP(SMALL(Calculations!$A$3:$A$34,A7),Calculations!$A$3:$C$34,3,FALSE))</f>
        <v>Team 5</v>
      </c>
      <c r="C7">
        <f>IF(Calculations!$C7="","",VLOOKUP($B7,Calculations!$C$3:$T$31,2,FALSE))</f>
        <v>0</v>
      </c>
      <c r="D7">
        <f>IF(Calculations!$C7="","",VLOOKUP($B7,Calculations!$C$3:$T$31,3,FALSE))</f>
        <v>0</v>
      </c>
      <c r="E7">
        <f>IF(Calculations!$C7="","",VLOOKUP($B7,Calculations!$C$3:$T$31,4,FALSE))</f>
        <v>0</v>
      </c>
      <c r="F7">
        <f>IF(Calculations!$C7="","",VLOOKUP($B7,Calculations!$C$3:$T$31,5,FALSE))</f>
        <v>0</v>
      </c>
      <c r="G7">
        <f>IF(Calculations!$C7="","",VLOOKUP($B7,Calculations!$C$3:$T$31,6,FALSE))</f>
        <v>0</v>
      </c>
      <c r="H7">
        <f>IF(Calculations!$C7="","",VLOOKUP($B7,Calculations!$C$3:$T$31,7,FALSE))</f>
        <v>0</v>
      </c>
      <c r="I7">
        <f>IF(Calculations!$C7="","",VLOOKUP($B7,Calculations!$C$3:$T$31,10,FALSE))</f>
        <v>0</v>
      </c>
      <c r="J7">
        <f>IF(Calculations!$C7="","",VLOOKUP($B7,Calculations!$C$3:$T$31,11,FALSE))</f>
        <v>0</v>
      </c>
      <c r="K7">
        <f>IF(Calculations!$C7="","",VLOOKUP($B7,Calculations!$C$3:$T$31,12,FALSE))</f>
        <v>0</v>
      </c>
      <c r="L7">
        <f>IF(Calculations!$C7="","",VLOOKUP($B7,Calculations!$C$3:$T$31,13,FALSE))</f>
        <v>0</v>
      </c>
      <c r="M7">
        <f>IF(Calculations!$C7="","",VLOOKUP($B7,Calculations!$C$3:$T$31,14,FALSE))</f>
        <v>0</v>
      </c>
      <c r="N7">
        <f>IF(Calculations!$C7="","",VLOOKUP($B7,Calculations!$C$3:$T$31,17,FALSE))</f>
        <v>0</v>
      </c>
      <c r="O7">
        <f>IF(Calculations!$C7="","",VLOOKUP($B7,Calculations!$C$3:$U$31,19,FALSE))</f>
        <v>0</v>
      </c>
    </row>
    <row r="8" spans="1:17" x14ac:dyDescent="0.3">
      <c r="A8">
        <f>IF(Calculations!$C8="","",ROW($B8)-2)</f>
        <v>6</v>
      </c>
      <c r="B8" t="str">
        <f>IF(Calculations!$C8="","",VLOOKUP(SMALL(Calculations!$A$3:$A$34,A8),Calculations!$A$3:$C$34,3,FALSE))</f>
        <v>Team 6</v>
      </c>
      <c r="C8">
        <f>IF(Calculations!$C8="","",VLOOKUP($B8,Calculations!$C$3:$T$31,2,FALSE))</f>
        <v>0</v>
      </c>
      <c r="D8">
        <f>IF(Calculations!$C8="","",VLOOKUP($B8,Calculations!$C$3:$T$31,3,FALSE))</f>
        <v>0</v>
      </c>
      <c r="E8">
        <f>IF(Calculations!$C8="","",VLOOKUP($B8,Calculations!$C$3:$T$31,4,FALSE))</f>
        <v>0</v>
      </c>
      <c r="F8">
        <f>IF(Calculations!$C8="","",VLOOKUP($B8,Calculations!$C$3:$T$31,5,FALSE))</f>
        <v>0</v>
      </c>
      <c r="G8">
        <f>IF(Calculations!$C8="","",VLOOKUP($B8,Calculations!$C$3:$T$31,6,FALSE))</f>
        <v>0</v>
      </c>
      <c r="H8">
        <f>IF(Calculations!$C8="","",VLOOKUP($B8,Calculations!$C$3:$T$31,7,FALSE))</f>
        <v>0</v>
      </c>
      <c r="I8">
        <f>IF(Calculations!$C8="","",VLOOKUP($B8,Calculations!$C$3:$T$31,10,FALSE))</f>
        <v>0</v>
      </c>
      <c r="J8">
        <f>IF(Calculations!$C8="","",VLOOKUP($B8,Calculations!$C$3:$T$31,11,FALSE))</f>
        <v>0</v>
      </c>
      <c r="K8">
        <f>IF(Calculations!$C8="","",VLOOKUP($B8,Calculations!$C$3:$T$31,12,FALSE))</f>
        <v>0</v>
      </c>
      <c r="L8">
        <f>IF(Calculations!$C8="","",VLOOKUP($B8,Calculations!$C$3:$T$31,13,FALSE))</f>
        <v>0</v>
      </c>
      <c r="M8">
        <f>IF(Calculations!$C8="","",VLOOKUP($B8,Calculations!$C$3:$T$31,14,FALSE))</f>
        <v>0</v>
      </c>
      <c r="N8">
        <f>IF(Calculations!$C8="","",VLOOKUP($B8,Calculations!$C$3:$T$31,17,FALSE))</f>
        <v>0</v>
      </c>
      <c r="O8">
        <f>IF(Calculations!$C8="","",VLOOKUP($B8,Calculations!$C$3:$U$31,19,FALSE))</f>
        <v>0</v>
      </c>
    </row>
    <row r="9" spans="1:17" x14ac:dyDescent="0.3">
      <c r="A9">
        <f>IF(Calculations!$C9="","",ROW($B9)-2)</f>
        <v>7</v>
      </c>
      <c r="B9" t="str">
        <f>IF(Calculations!$C9="","",VLOOKUP(SMALL(Calculations!$A$3:$A$34,A9),Calculations!$A$3:$C$34,3,FALSE))</f>
        <v>Team 7</v>
      </c>
      <c r="C9">
        <f>IF(Calculations!$C9="","",VLOOKUP($B9,Calculations!$C$3:$T$31,2,FALSE))</f>
        <v>0</v>
      </c>
      <c r="D9">
        <f>IF(Calculations!$C9="","",VLOOKUP($B9,Calculations!$C$3:$T$31,3,FALSE))</f>
        <v>0</v>
      </c>
      <c r="E9">
        <f>IF(Calculations!$C9="","",VLOOKUP($B9,Calculations!$C$3:$T$31,4,FALSE))</f>
        <v>0</v>
      </c>
      <c r="F9">
        <f>IF(Calculations!$C9="","",VLOOKUP($B9,Calculations!$C$3:$T$31,5,FALSE))</f>
        <v>0</v>
      </c>
      <c r="G9">
        <f>IF(Calculations!$C9="","",VLOOKUP($B9,Calculations!$C$3:$T$31,6,FALSE))</f>
        <v>0</v>
      </c>
      <c r="H9">
        <f>IF(Calculations!$C9="","",VLOOKUP($B9,Calculations!$C$3:$T$31,7,FALSE))</f>
        <v>0</v>
      </c>
      <c r="I9">
        <f>IF(Calculations!$C9="","",VLOOKUP($B9,Calculations!$C$3:$T$31,10,FALSE))</f>
        <v>0</v>
      </c>
      <c r="J9">
        <f>IF(Calculations!$C9="","",VLOOKUP($B9,Calculations!$C$3:$T$31,11,FALSE))</f>
        <v>0</v>
      </c>
      <c r="K9">
        <f>IF(Calculations!$C9="","",VLOOKUP($B9,Calculations!$C$3:$T$31,12,FALSE))</f>
        <v>0</v>
      </c>
      <c r="L9">
        <f>IF(Calculations!$C9="","",VLOOKUP($B9,Calculations!$C$3:$T$31,13,FALSE))</f>
        <v>0</v>
      </c>
      <c r="M9">
        <f>IF(Calculations!$C9="","",VLOOKUP($B9,Calculations!$C$3:$T$31,14,FALSE))</f>
        <v>0</v>
      </c>
      <c r="N9">
        <f>IF(Calculations!$C9="","",VLOOKUP($B9,Calculations!$C$3:$T$31,17,FALSE))</f>
        <v>0</v>
      </c>
      <c r="O9">
        <f>IF(Calculations!$C9="","",VLOOKUP($B9,Calculations!$C$3:$U$31,19,FALSE))</f>
        <v>0</v>
      </c>
    </row>
    <row r="10" spans="1:17" x14ac:dyDescent="0.3">
      <c r="A10">
        <f>IF(Calculations!$C10="","",ROW($B10)-2)</f>
        <v>8</v>
      </c>
      <c r="B10" t="str">
        <f>IF(Calculations!$C10="","",VLOOKUP(SMALL(Calculations!$A$3:$A$34,A10),Calculations!$A$3:$C$34,3,FALSE))</f>
        <v>Team 8</v>
      </c>
      <c r="C10">
        <f>IF(Calculations!$C10="","",VLOOKUP($B10,Calculations!$C$3:$T$31,2,FALSE))</f>
        <v>0</v>
      </c>
      <c r="D10">
        <f>IF(Calculations!$C10="","",VLOOKUP($B10,Calculations!$C$3:$T$31,3,FALSE))</f>
        <v>0</v>
      </c>
      <c r="E10">
        <f>IF(Calculations!$C10="","",VLOOKUP($B10,Calculations!$C$3:$T$31,4,FALSE))</f>
        <v>0</v>
      </c>
      <c r="F10">
        <f>IF(Calculations!$C10="","",VLOOKUP($B10,Calculations!$C$3:$T$31,5,FALSE))</f>
        <v>0</v>
      </c>
      <c r="G10">
        <f>IF(Calculations!$C10="","",VLOOKUP($B10,Calculations!$C$3:$T$31,6,FALSE))</f>
        <v>0</v>
      </c>
      <c r="H10">
        <f>IF(Calculations!$C10="","",VLOOKUP($B10,Calculations!$C$3:$T$31,7,FALSE))</f>
        <v>0</v>
      </c>
      <c r="I10">
        <f>IF(Calculations!$C10="","",VLOOKUP($B10,Calculations!$C$3:$T$31,10,FALSE))</f>
        <v>0</v>
      </c>
      <c r="J10">
        <f>IF(Calculations!$C10="","",VLOOKUP($B10,Calculations!$C$3:$T$31,11,FALSE))</f>
        <v>0</v>
      </c>
      <c r="K10">
        <f>IF(Calculations!$C10="","",VLOOKUP($B10,Calculations!$C$3:$T$31,12,FALSE))</f>
        <v>0</v>
      </c>
      <c r="L10">
        <f>IF(Calculations!$C10="","",VLOOKUP($B10,Calculations!$C$3:$T$31,13,FALSE))</f>
        <v>0</v>
      </c>
      <c r="M10">
        <f>IF(Calculations!$C10="","",VLOOKUP($B10,Calculations!$C$3:$T$31,14,FALSE))</f>
        <v>0</v>
      </c>
      <c r="N10">
        <f>IF(Calculations!$C10="","",VLOOKUP($B10,Calculations!$C$3:$T$31,17,FALSE))</f>
        <v>0</v>
      </c>
      <c r="O10">
        <f>IF(Calculations!$C10="","",VLOOKUP($B10,Calculations!$C$3:$U$31,19,FALSE))</f>
        <v>0</v>
      </c>
    </row>
    <row r="11" spans="1:17" x14ac:dyDescent="0.3">
      <c r="A11">
        <f>IF(Calculations!$C11="","",ROW($B11)-2)</f>
        <v>9</v>
      </c>
      <c r="B11" t="str">
        <f>IF(Calculations!$C11="","",VLOOKUP(SMALL(Calculations!$A$3:$A$34,A11),Calculations!$A$3:$C$34,3,FALSE))</f>
        <v>Team 9</v>
      </c>
      <c r="C11">
        <f>IF(Calculations!$C11="","",VLOOKUP($B11,Calculations!$C$3:$T$31,2,FALSE))</f>
        <v>0</v>
      </c>
      <c r="D11">
        <f>IF(Calculations!$C11="","",VLOOKUP($B11,Calculations!$C$3:$T$31,3,FALSE))</f>
        <v>0</v>
      </c>
      <c r="E11">
        <f>IF(Calculations!$C11="","",VLOOKUP($B11,Calculations!$C$3:$T$31,4,FALSE))</f>
        <v>0</v>
      </c>
      <c r="F11">
        <f>IF(Calculations!$C11="","",VLOOKUP($B11,Calculations!$C$3:$T$31,5,FALSE))</f>
        <v>0</v>
      </c>
      <c r="G11">
        <f>IF(Calculations!$C11="","",VLOOKUP($B11,Calculations!$C$3:$T$31,6,FALSE))</f>
        <v>0</v>
      </c>
      <c r="H11">
        <f>IF(Calculations!$C11="","",VLOOKUP($B11,Calculations!$C$3:$T$31,7,FALSE))</f>
        <v>0</v>
      </c>
      <c r="I11">
        <f>IF(Calculations!$C11="","",VLOOKUP($B11,Calculations!$C$3:$T$31,10,FALSE))</f>
        <v>0</v>
      </c>
      <c r="J11">
        <f>IF(Calculations!$C11="","",VLOOKUP($B11,Calculations!$C$3:$T$31,11,FALSE))</f>
        <v>0</v>
      </c>
      <c r="K11">
        <f>IF(Calculations!$C11="","",VLOOKUP($B11,Calculations!$C$3:$T$31,12,FALSE))</f>
        <v>0</v>
      </c>
      <c r="L11">
        <f>IF(Calculations!$C11="","",VLOOKUP($B11,Calculations!$C$3:$T$31,13,FALSE))</f>
        <v>0</v>
      </c>
      <c r="M11">
        <f>IF(Calculations!$C11="","",VLOOKUP($B11,Calculations!$C$3:$T$31,14,FALSE))</f>
        <v>0</v>
      </c>
      <c r="N11">
        <f>IF(Calculations!$C11="","",VLOOKUP($B11,Calculations!$C$3:$T$31,17,FALSE))</f>
        <v>0</v>
      </c>
      <c r="O11">
        <f>IF(Calculations!$C11="","",VLOOKUP($B11,Calculations!$C$3:$U$31,19,FALSE))</f>
        <v>0</v>
      </c>
    </row>
    <row r="12" spans="1:17" x14ac:dyDescent="0.3">
      <c r="A12">
        <f>IF(Calculations!$C12="","",ROW($B12)-2)</f>
        <v>10</v>
      </c>
      <c r="B12" t="str">
        <f>IF(Calculations!$C12="","",VLOOKUP(SMALL(Calculations!$A$3:$A$34,A12),Calculations!$A$3:$C$34,3,FALSE))</f>
        <v>Team 10</v>
      </c>
      <c r="C12">
        <f>IF(Calculations!$C12="","",VLOOKUP($B12,Calculations!$C$3:$T$31,2,FALSE))</f>
        <v>0</v>
      </c>
      <c r="D12">
        <f>IF(Calculations!$C12="","",VLOOKUP($B12,Calculations!$C$3:$T$31,3,FALSE))</f>
        <v>0</v>
      </c>
      <c r="E12">
        <f>IF(Calculations!$C12="","",VLOOKUP($B12,Calculations!$C$3:$T$31,4,FALSE))</f>
        <v>0</v>
      </c>
      <c r="F12">
        <f>IF(Calculations!$C12="","",VLOOKUP($B12,Calculations!$C$3:$T$31,5,FALSE))</f>
        <v>0</v>
      </c>
      <c r="G12">
        <f>IF(Calculations!$C12="","",VLOOKUP($B12,Calculations!$C$3:$T$31,6,FALSE))</f>
        <v>0</v>
      </c>
      <c r="H12">
        <f>IF(Calculations!$C12="","",VLOOKUP($B12,Calculations!$C$3:$T$31,7,FALSE))</f>
        <v>0</v>
      </c>
      <c r="I12">
        <f>IF(Calculations!$C12="","",VLOOKUP($B12,Calculations!$C$3:$T$31,10,FALSE))</f>
        <v>0</v>
      </c>
      <c r="J12">
        <f>IF(Calculations!$C12="","",VLOOKUP($B12,Calculations!$C$3:$T$31,11,FALSE))</f>
        <v>0</v>
      </c>
      <c r="K12">
        <f>IF(Calculations!$C12="","",VLOOKUP($B12,Calculations!$C$3:$T$31,12,FALSE))</f>
        <v>0</v>
      </c>
      <c r="L12">
        <f>IF(Calculations!$C12="","",VLOOKUP($B12,Calculations!$C$3:$T$31,13,FALSE))</f>
        <v>0</v>
      </c>
      <c r="M12">
        <f>IF(Calculations!$C12="","",VLOOKUP($B12,Calculations!$C$3:$T$31,14,FALSE))</f>
        <v>0</v>
      </c>
      <c r="N12">
        <f>IF(Calculations!$C12="","",VLOOKUP($B12,Calculations!$C$3:$T$31,17,FALSE))</f>
        <v>0</v>
      </c>
      <c r="O12">
        <f>IF(Calculations!$C12="","",VLOOKUP($B12,Calculations!$C$3:$U$31,19,FALSE))</f>
        <v>0</v>
      </c>
    </row>
    <row r="13" spans="1:17" x14ac:dyDescent="0.3">
      <c r="A13">
        <f>IF(Calculations!$C13="","",ROW($B13)-2)</f>
        <v>11</v>
      </c>
      <c r="B13" t="str">
        <f>IF(Calculations!$C13="","",VLOOKUP(SMALL(Calculations!$A$3:$A$34,A13),Calculations!$A$3:$C$34,3,FALSE))</f>
        <v>Team 11</v>
      </c>
      <c r="C13">
        <f>IF(Calculations!$C13="","",VLOOKUP($B13,Calculations!$C$3:$T$31,2,FALSE))</f>
        <v>0</v>
      </c>
      <c r="D13">
        <f>IF(Calculations!$C13="","",VLOOKUP($B13,Calculations!$C$3:$T$31,3,FALSE))</f>
        <v>0</v>
      </c>
      <c r="E13">
        <f>IF(Calculations!$C13="","",VLOOKUP($B13,Calculations!$C$3:$T$31,4,FALSE))</f>
        <v>0</v>
      </c>
      <c r="F13">
        <f>IF(Calculations!$C13="","",VLOOKUP($B13,Calculations!$C$3:$T$31,5,FALSE))</f>
        <v>0</v>
      </c>
      <c r="G13">
        <f>IF(Calculations!$C13="","",VLOOKUP($B13,Calculations!$C$3:$T$31,6,FALSE))</f>
        <v>0</v>
      </c>
      <c r="H13">
        <f>IF(Calculations!$C13="","",VLOOKUP($B13,Calculations!$C$3:$T$31,7,FALSE))</f>
        <v>0</v>
      </c>
      <c r="I13">
        <f>IF(Calculations!$C13="","",VLOOKUP($B13,Calculations!$C$3:$T$31,10,FALSE))</f>
        <v>0</v>
      </c>
      <c r="J13">
        <f>IF(Calculations!$C13="","",VLOOKUP($B13,Calculations!$C$3:$T$31,11,FALSE))</f>
        <v>0</v>
      </c>
      <c r="K13">
        <f>IF(Calculations!$C13="","",VLOOKUP($B13,Calculations!$C$3:$T$31,12,FALSE))</f>
        <v>0</v>
      </c>
      <c r="L13">
        <f>IF(Calculations!$C13="","",VLOOKUP($B13,Calculations!$C$3:$T$31,13,FALSE))</f>
        <v>0</v>
      </c>
      <c r="M13">
        <f>IF(Calculations!$C13="","",VLOOKUP($B13,Calculations!$C$3:$T$31,14,FALSE))</f>
        <v>0</v>
      </c>
      <c r="N13">
        <f>IF(Calculations!$C13="","",VLOOKUP($B13,Calculations!$C$3:$T$31,17,FALSE))</f>
        <v>0</v>
      </c>
      <c r="O13">
        <f>IF(Calculations!$C13="","",VLOOKUP($B13,Calculations!$C$3:$U$31,19,FALSE))</f>
        <v>0</v>
      </c>
    </row>
    <row r="14" spans="1:17" x14ac:dyDescent="0.3">
      <c r="A14">
        <f>IF(Calculations!$C14="","",ROW($B14)-2)</f>
        <v>12</v>
      </c>
      <c r="B14" t="str">
        <f>IF(Calculations!$C14="","",VLOOKUP(SMALL(Calculations!$A$3:$A$34,A14),Calculations!$A$3:$C$34,3,FALSE))</f>
        <v>Team 12</v>
      </c>
      <c r="C14">
        <f>IF(Calculations!$C14="","",VLOOKUP($B14,Calculations!$C$3:$T$31,2,FALSE))</f>
        <v>0</v>
      </c>
      <c r="D14">
        <f>IF(Calculations!$C14="","",VLOOKUP($B14,Calculations!$C$3:$T$31,3,FALSE))</f>
        <v>0</v>
      </c>
      <c r="E14">
        <f>IF(Calculations!$C14="","",VLOOKUP($B14,Calculations!$C$3:$T$31,4,FALSE))</f>
        <v>0</v>
      </c>
      <c r="F14">
        <f>IF(Calculations!$C14="","",VLOOKUP($B14,Calculations!$C$3:$T$31,5,FALSE))</f>
        <v>0</v>
      </c>
      <c r="G14">
        <f>IF(Calculations!$C14="","",VLOOKUP($B14,Calculations!$C$3:$T$31,6,FALSE))</f>
        <v>0</v>
      </c>
      <c r="H14">
        <f>IF(Calculations!$C14="","",VLOOKUP($B14,Calculations!$C$3:$T$31,7,FALSE))</f>
        <v>0</v>
      </c>
      <c r="I14">
        <f>IF(Calculations!$C14="","",VLOOKUP($B14,Calculations!$C$3:$T$31,10,FALSE))</f>
        <v>0</v>
      </c>
      <c r="J14">
        <f>IF(Calculations!$C14="","",VLOOKUP($B14,Calculations!$C$3:$T$31,11,FALSE))</f>
        <v>0</v>
      </c>
      <c r="K14">
        <f>IF(Calculations!$C14="","",VLOOKUP($B14,Calculations!$C$3:$T$31,12,FALSE))</f>
        <v>0</v>
      </c>
      <c r="L14">
        <f>IF(Calculations!$C14="","",VLOOKUP($B14,Calculations!$C$3:$T$31,13,FALSE))</f>
        <v>0</v>
      </c>
      <c r="M14">
        <f>IF(Calculations!$C14="","",VLOOKUP($B14,Calculations!$C$3:$T$31,14,FALSE))</f>
        <v>0</v>
      </c>
      <c r="N14">
        <f>IF(Calculations!$C14="","",VLOOKUP($B14,Calculations!$C$3:$T$31,17,FALSE))</f>
        <v>0</v>
      </c>
      <c r="O14">
        <f>IF(Calculations!$C14="","",VLOOKUP($B14,Calculations!$C$3:$U$31,19,FALSE))</f>
        <v>0</v>
      </c>
    </row>
    <row r="15" spans="1:17" x14ac:dyDescent="0.3">
      <c r="A15">
        <f>IF(Calculations!$C15="","",ROW($B15)-2)</f>
        <v>13</v>
      </c>
      <c r="B15" t="str">
        <f>IF(Calculations!$C15="","",VLOOKUP(SMALL(Calculations!$A$3:$A$34,A15),Calculations!$A$3:$C$34,3,FALSE))</f>
        <v>Team 13</v>
      </c>
      <c r="C15">
        <f>IF(Calculations!$C15="","",VLOOKUP($B15,Calculations!$C$3:$T$31,2,FALSE))</f>
        <v>0</v>
      </c>
      <c r="D15">
        <f>IF(Calculations!$C15="","",VLOOKUP($B15,Calculations!$C$3:$T$31,3,FALSE))</f>
        <v>0</v>
      </c>
      <c r="E15">
        <f>IF(Calculations!$C15="","",VLOOKUP($B15,Calculations!$C$3:$T$31,4,FALSE))</f>
        <v>0</v>
      </c>
      <c r="F15">
        <f>IF(Calculations!$C15="","",VLOOKUP($B15,Calculations!$C$3:$T$31,5,FALSE))</f>
        <v>0</v>
      </c>
      <c r="G15">
        <f>IF(Calculations!$C15="","",VLOOKUP($B15,Calculations!$C$3:$T$31,6,FALSE))</f>
        <v>0</v>
      </c>
      <c r="H15">
        <f>IF(Calculations!$C15="","",VLOOKUP($B15,Calculations!$C$3:$T$31,7,FALSE))</f>
        <v>0</v>
      </c>
      <c r="I15">
        <f>IF(Calculations!$C15="","",VLOOKUP($B15,Calculations!$C$3:$T$31,10,FALSE))</f>
        <v>0</v>
      </c>
      <c r="J15">
        <f>IF(Calculations!$C15="","",VLOOKUP($B15,Calculations!$C$3:$T$31,11,FALSE))</f>
        <v>0</v>
      </c>
      <c r="K15">
        <f>IF(Calculations!$C15="","",VLOOKUP($B15,Calculations!$C$3:$T$31,12,FALSE))</f>
        <v>0</v>
      </c>
      <c r="L15">
        <f>IF(Calculations!$C15="","",VLOOKUP($B15,Calculations!$C$3:$T$31,13,FALSE))</f>
        <v>0</v>
      </c>
      <c r="M15">
        <f>IF(Calculations!$C15="","",VLOOKUP($B15,Calculations!$C$3:$T$31,14,FALSE))</f>
        <v>0</v>
      </c>
      <c r="N15">
        <f>IF(Calculations!$C15="","",VLOOKUP($B15,Calculations!$C$3:$T$31,17,FALSE))</f>
        <v>0</v>
      </c>
      <c r="O15">
        <f>IF(Calculations!$C15="","",VLOOKUP($B15,Calculations!$C$3:$U$31,19,FALSE))</f>
        <v>0</v>
      </c>
    </row>
    <row r="16" spans="1:17" x14ac:dyDescent="0.3">
      <c r="A16">
        <f>IF(Calculations!$C16="","",ROW($B16)-2)</f>
        <v>14</v>
      </c>
      <c r="B16" t="str">
        <f>IF(Calculations!$C16="","",VLOOKUP(SMALL(Calculations!$A$3:$A$34,A16),Calculations!$A$3:$C$34,3,FALSE))</f>
        <v>Team 14</v>
      </c>
      <c r="C16">
        <f>IF(Calculations!$C16="","",VLOOKUP($B16,Calculations!$C$3:$T$31,2,FALSE))</f>
        <v>0</v>
      </c>
      <c r="D16">
        <f>IF(Calculations!$C16="","",VLOOKUP($B16,Calculations!$C$3:$T$31,3,FALSE))</f>
        <v>0</v>
      </c>
      <c r="E16">
        <f>IF(Calculations!$C16="","",VLOOKUP($B16,Calculations!$C$3:$T$31,4,FALSE))</f>
        <v>0</v>
      </c>
      <c r="F16">
        <f>IF(Calculations!$C16="","",VLOOKUP($B16,Calculations!$C$3:$T$31,5,FALSE))</f>
        <v>0</v>
      </c>
      <c r="G16">
        <f>IF(Calculations!$C16="","",VLOOKUP($B16,Calculations!$C$3:$T$31,6,FALSE))</f>
        <v>0</v>
      </c>
      <c r="H16">
        <f>IF(Calculations!$C16="","",VLOOKUP($B16,Calculations!$C$3:$T$31,7,FALSE))</f>
        <v>0</v>
      </c>
      <c r="I16">
        <f>IF(Calculations!$C16="","",VLOOKUP($B16,Calculations!$C$3:$T$31,10,FALSE))</f>
        <v>0</v>
      </c>
      <c r="J16">
        <f>IF(Calculations!$C16="","",VLOOKUP($B16,Calculations!$C$3:$T$31,11,FALSE))</f>
        <v>0</v>
      </c>
      <c r="K16">
        <f>IF(Calculations!$C16="","",VLOOKUP($B16,Calculations!$C$3:$T$31,12,FALSE))</f>
        <v>0</v>
      </c>
      <c r="L16">
        <f>IF(Calculations!$C16="","",VLOOKUP($B16,Calculations!$C$3:$T$31,13,FALSE))</f>
        <v>0</v>
      </c>
      <c r="M16">
        <f>IF(Calculations!$C16="","",VLOOKUP($B16,Calculations!$C$3:$T$31,14,FALSE))</f>
        <v>0</v>
      </c>
      <c r="N16">
        <f>IF(Calculations!$C16="","",VLOOKUP($B16,Calculations!$C$3:$T$31,17,FALSE))</f>
        <v>0</v>
      </c>
      <c r="O16">
        <f>IF(Calculations!$C16="","",VLOOKUP($B16,Calculations!$C$3:$U$31,19,FALSE))</f>
        <v>0</v>
      </c>
    </row>
    <row r="17" spans="1:16" x14ac:dyDescent="0.3">
      <c r="A17">
        <f>IF(Calculations!$C17="","",ROW($B17)-2)</f>
        <v>15</v>
      </c>
      <c r="B17" t="str">
        <f>IF(Calculations!$C17="","",VLOOKUP(SMALL(Calculations!$A$3:$A$34,A17),Calculations!$A$3:$C$34,3,FALSE))</f>
        <v>Team 15</v>
      </c>
      <c r="C17">
        <f>IF(Calculations!$C17="","",VLOOKUP($B17,Calculations!$C$3:$T$31,2,FALSE))</f>
        <v>0</v>
      </c>
      <c r="D17">
        <f>IF(Calculations!$C17="","",VLOOKUP($B17,Calculations!$C$3:$T$31,3,FALSE))</f>
        <v>0</v>
      </c>
      <c r="E17">
        <f>IF(Calculations!$C17="","",VLOOKUP($B17,Calculations!$C$3:$T$31,4,FALSE))</f>
        <v>0</v>
      </c>
      <c r="F17">
        <f>IF(Calculations!$C17="","",VLOOKUP($B17,Calculations!$C$3:$T$31,5,FALSE))</f>
        <v>0</v>
      </c>
      <c r="G17">
        <f>IF(Calculations!$C17="","",VLOOKUP($B17,Calculations!$C$3:$T$31,6,FALSE))</f>
        <v>0</v>
      </c>
      <c r="H17">
        <f>IF(Calculations!$C17="","",VLOOKUP($B17,Calculations!$C$3:$T$31,7,FALSE))</f>
        <v>0</v>
      </c>
      <c r="I17">
        <f>IF(Calculations!$C17="","",VLOOKUP($B17,Calculations!$C$3:$T$31,10,FALSE))</f>
        <v>0</v>
      </c>
      <c r="J17">
        <f>IF(Calculations!$C17="","",VLOOKUP($B17,Calculations!$C$3:$T$31,11,FALSE))</f>
        <v>0</v>
      </c>
      <c r="K17">
        <f>IF(Calculations!$C17="","",VLOOKUP($B17,Calculations!$C$3:$T$31,12,FALSE))</f>
        <v>0</v>
      </c>
      <c r="L17">
        <f>IF(Calculations!$C17="","",VLOOKUP($B17,Calculations!$C$3:$T$31,13,FALSE))</f>
        <v>0</v>
      </c>
      <c r="M17">
        <f>IF(Calculations!$C17="","",VLOOKUP($B17,Calculations!$C$3:$T$31,14,FALSE))</f>
        <v>0</v>
      </c>
      <c r="N17">
        <f>IF(Calculations!$C17="","",VLOOKUP($B17,Calculations!$C$3:$T$31,17,FALSE))</f>
        <v>0</v>
      </c>
      <c r="O17">
        <f>IF(Calculations!$C17="","",VLOOKUP($B17,Calculations!$C$3:$U$31,19,FALSE))</f>
        <v>0</v>
      </c>
    </row>
    <row r="18" spans="1:16" x14ac:dyDescent="0.3">
      <c r="A18">
        <f>IF(Calculations!$C18="","",ROW($B18)-2)</f>
        <v>16</v>
      </c>
      <c r="B18" t="str">
        <f>IF(Calculations!$C18="","",VLOOKUP(SMALL(Calculations!$A$3:$A$34,A18),Calculations!$A$3:$C$34,3,FALSE))</f>
        <v>Team 16</v>
      </c>
      <c r="C18">
        <f>IF(Calculations!$C18="","",VLOOKUP($B18,Calculations!$C$3:$T$31,2,FALSE))</f>
        <v>0</v>
      </c>
      <c r="D18">
        <f>IF(Calculations!$C18="","",VLOOKUP($B18,Calculations!$C$3:$T$31,3,FALSE))</f>
        <v>0</v>
      </c>
      <c r="E18">
        <f>IF(Calculations!$C18="","",VLOOKUP($B18,Calculations!$C$3:$T$31,4,FALSE))</f>
        <v>0</v>
      </c>
      <c r="F18">
        <f>IF(Calculations!$C18="","",VLOOKUP($B18,Calculations!$C$3:$T$31,5,FALSE))</f>
        <v>0</v>
      </c>
      <c r="G18">
        <f>IF(Calculations!$C18="","",VLOOKUP($B18,Calculations!$C$3:$T$31,6,FALSE))</f>
        <v>0</v>
      </c>
      <c r="H18">
        <f>IF(Calculations!$C18="","",VLOOKUP($B18,Calculations!$C$3:$T$31,7,FALSE))</f>
        <v>0</v>
      </c>
      <c r="I18">
        <f>IF(Calculations!$C18="","",VLOOKUP($B18,Calculations!$C$3:$T$31,10,FALSE))</f>
        <v>0</v>
      </c>
      <c r="J18">
        <f>IF(Calculations!$C18="","",VLOOKUP($B18,Calculations!$C$3:$T$31,11,FALSE))</f>
        <v>0</v>
      </c>
      <c r="K18">
        <f>IF(Calculations!$C18="","",VLOOKUP($B18,Calculations!$C$3:$T$31,12,FALSE))</f>
        <v>0</v>
      </c>
      <c r="L18">
        <f>IF(Calculations!$C18="","",VLOOKUP($B18,Calculations!$C$3:$T$31,13,FALSE))</f>
        <v>0</v>
      </c>
      <c r="M18">
        <f>IF(Calculations!$C18="","",VLOOKUP($B18,Calculations!$C$3:$T$31,14,FALSE))</f>
        <v>0</v>
      </c>
      <c r="N18">
        <f>IF(Calculations!$C18="","",VLOOKUP($B18,Calculations!$C$3:$T$31,17,FALSE))</f>
        <v>0</v>
      </c>
      <c r="O18">
        <f>IF(Calculations!$C18="","",VLOOKUP($B18,Calculations!$C$3:$U$31,19,FALSE))</f>
        <v>0</v>
      </c>
    </row>
    <row r="19" spans="1:16" x14ac:dyDescent="0.3">
      <c r="A19">
        <f>IF(Calculations!$C19="","",ROW($B19)-2)</f>
        <v>17</v>
      </c>
      <c r="B19" t="str">
        <f>IF(Calculations!$C19="","",VLOOKUP(SMALL(Calculations!$A$3:$A$34,A19),Calculations!$A$3:$C$34,3,FALSE))</f>
        <v>Team 17</v>
      </c>
      <c r="C19">
        <f>IF(Calculations!$C19="","",VLOOKUP($B19,Calculations!$C$3:$T$31,2,FALSE))</f>
        <v>0</v>
      </c>
      <c r="D19">
        <f>IF(Calculations!$C19="","",VLOOKUP($B19,Calculations!$C$3:$T$31,3,FALSE))</f>
        <v>0</v>
      </c>
      <c r="E19">
        <f>IF(Calculations!$C19="","",VLOOKUP($B19,Calculations!$C$3:$T$31,4,FALSE))</f>
        <v>0</v>
      </c>
      <c r="F19">
        <f>IF(Calculations!$C19="","",VLOOKUP($B19,Calculations!$C$3:$T$31,5,FALSE))</f>
        <v>0</v>
      </c>
      <c r="G19">
        <f>IF(Calculations!$C19="","",VLOOKUP($B19,Calculations!$C$3:$T$31,6,FALSE))</f>
        <v>0</v>
      </c>
      <c r="H19">
        <f>IF(Calculations!$C19="","",VLOOKUP($B19,Calculations!$C$3:$T$31,7,FALSE))</f>
        <v>0</v>
      </c>
      <c r="I19">
        <f>IF(Calculations!$C19="","",VLOOKUP($B19,Calculations!$C$3:$T$31,10,FALSE))</f>
        <v>0</v>
      </c>
      <c r="J19">
        <f>IF(Calculations!$C19="","",VLOOKUP($B19,Calculations!$C$3:$T$31,11,FALSE))</f>
        <v>0</v>
      </c>
      <c r="K19">
        <f>IF(Calculations!$C19="","",VLOOKUP($B19,Calculations!$C$3:$T$31,12,FALSE))</f>
        <v>0</v>
      </c>
      <c r="L19">
        <f>IF(Calculations!$C19="","",VLOOKUP($B19,Calculations!$C$3:$T$31,13,FALSE))</f>
        <v>0</v>
      </c>
      <c r="M19">
        <f>IF(Calculations!$C19="","",VLOOKUP($B19,Calculations!$C$3:$T$31,14,FALSE))</f>
        <v>0</v>
      </c>
      <c r="N19">
        <f>IF(Calculations!$C19="","",VLOOKUP($B19,Calculations!$C$3:$T$31,17,FALSE))</f>
        <v>0</v>
      </c>
      <c r="O19">
        <f>IF(Calculations!$C19="","",VLOOKUP($B19,Calculations!$C$3:$U$31,19,FALSE))</f>
        <v>0</v>
      </c>
    </row>
    <row r="20" spans="1:16" x14ac:dyDescent="0.3">
      <c r="A20">
        <f>IF(Calculations!$C20="","",ROW($B20)-2)</f>
        <v>18</v>
      </c>
      <c r="B20" t="str">
        <f>IF(Calculations!$C20="","",VLOOKUP(SMALL(Calculations!$A$3:$A$34,A20),Calculations!$A$3:$C$34,3,FALSE))</f>
        <v>Team 18</v>
      </c>
      <c r="C20">
        <f>IF(Calculations!$C20="","",VLOOKUP($B20,Calculations!$C$3:$T$31,2,FALSE))</f>
        <v>0</v>
      </c>
      <c r="D20">
        <f>IF(Calculations!$C20="","",VLOOKUP($B20,Calculations!$C$3:$T$31,3,FALSE))</f>
        <v>0</v>
      </c>
      <c r="E20">
        <f>IF(Calculations!$C20="","",VLOOKUP($B20,Calculations!$C$3:$T$31,4,FALSE))</f>
        <v>0</v>
      </c>
      <c r="F20">
        <f>IF(Calculations!$C20="","",VLOOKUP($B20,Calculations!$C$3:$T$31,5,FALSE))</f>
        <v>0</v>
      </c>
      <c r="G20">
        <f>IF(Calculations!$C20="","",VLOOKUP($B20,Calculations!$C$3:$T$31,6,FALSE))</f>
        <v>0</v>
      </c>
      <c r="H20">
        <f>IF(Calculations!$C20="","",VLOOKUP($B20,Calculations!$C$3:$T$31,7,FALSE))</f>
        <v>0</v>
      </c>
      <c r="I20">
        <f>IF(Calculations!$C20="","",VLOOKUP($B20,Calculations!$C$3:$T$31,10,FALSE))</f>
        <v>0</v>
      </c>
      <c r="J20">
        <f>IF(Calculations!$C20="","",VLOOKUP($B20,Calculations!$C$3:$T$31,11,FALSE))</f>
        <v>0</v>
      </c>
      <c r="K20">
        <f>IF(Calculations!$C20="","",VLOOKUP($B20,Calculations!$C$3:$T$31,12,FALSE))</f>
        <v>0</v>
      </c>
      <c r="L20">
        <f>IF(Calculations!$C20="","",VLOOKUP($B20,Calculations!$C$3:$T$31,13,FALSE))</f>
        <v>0</v>
      </c>
      <c r="M20">
        <f>IF(Calculations!$C20="","",VLOOKUP($B20,Calculations!$C$3:$T$31,14,FALSE))</f>
        <v>0</v>
      </c>
      <c r="N20">
        <f>IF(Calculations!$C20="","",VLOOKUP($B20,Calculations!$C$3:$T$31,17,FALSE))</f>
        <v>0</v>
      </c>
      <c r="O20">
        <f>IF(Calculations!$C20="","",VLOOKUP($B20,Calculations!$C$3:$U$31,19,FALSE))</f>
        <v>0</v>
      </c>
    </row>
    <row r="21" spans="1:16" x14ac:dyDescent="0.3">
      <c r="A21">
        <f>IF(Calculations!$C21="","",ROW($B21)-2)</f>
        <v>19</v>
      </c>
      <c r="B21" t="str">
        <f>IF(Calculations!$C21="","",VLOOKUP(SMALL(Calculations!$A$3:$A$34,A21),Calculations!$A$3:$C$34,3,FALSE))</f>
        <v>Team 19</v>
      </c>
      <c r="C21">
        <f>IF(Calculations!$C21="","",VLOOKUP($B21,Calculations!$C$3:$T$31,2,FALSE))</f>
        <v>0</v>
      </c>
      <c r="D21">
        <f>IF(Calculations!$C21="","",VLOOKUP($B21,Calculations!$C$3:$T$31,3,FALSE))</f>
        <v>0</v>
      </c>
      <c r="E21">
        <f>IF(Calculations!$C21="","",VLOOKUP($B21,Calculations!$C$3:$T$31,4,FALSE))</f>
        <v>0</v>
      </c>
      <c r="F21">
        <f>IF(Calculations!$C21="","",VLOOKUP($B21,Calculations!$C$3:$T$31,5,FALSE))</f>
        <v>0</v>
      </c>
      <c r="G21">
        <f>IF(Calculations!$C21="","",VLOOKUP($B21,Calculations!$C$3:$T$31,6,FALSE))</f>
        <v>0</v>
      </c>
      <c r="H21">
        <f>IF(Calculations!$C21="","",VLOOKUP($B21,Calculations!$C$3:$T$31,7,FALSE))</f>
        <v>0</v>
      </c>
      <c r="I21">
        <f>IF(Calculations!$C21="","",VLOOKUP($B21,Calculations!$C$3:$T$31,10,FALSE))</f>
        <v>0</v>
      </c>
      <c r="J21">
        <f>IF(Calculations!$C21="","",VLOOKUP($B21,Calculations!$C$3:$T$31,11,FALSE))</f>
        <v>0</v>
      </c>
      <c r="K21">
        <f>IF(Calculations!$C21="","",VLOOKUP($B21,Calculations!$C$3:$T$31,12,FALSE))</f>
        <v>0</v>
      </c>
      <c r="L21">
        <f>IF(Calculations!$C21="","",VLOOKUP($B21,Calculations!$C$3:$T$31,13,FALSE))</f>
        <v>0</v>
      </c>
      <c r="M21">
        <f>IF(Calculations!$C21="","",VLOOKUP($B21,Calculations!$C$3:$T$31,14,FALSE))</f>
        <v>0</v>
      </c>
      <c r="N21">
        <f>IF(Calculations!$C21="","",VLOOKUP($B21,Calculations!$C$3:$T$31,17,FALSE))</f>
        <v>0</v>
      </c>
      <c r="O21">
        <f>IF(Calculations!$C21="","",VLOOKUP($B21,Calculations!$C$3:$U$31,19,FALSE))</f>
        <v>0</v>
      </c>
    </row>
    <row r="22" spans="1:16" x14ac:dyDescent="0.3">
      <c r="A22">
        <f>IF(Calculations!$C22="","",ROW($B22)-2)</f>
        <v>20</v>
      </c>
      <c r="B22" t="str">
        <f>IF(Calculations!$C22="","",VLOOKUP(SMALL(Calculations!$A$3:$A$34,A22),Calculations!$A$3:$C$34,3,FALSE))</f>
        <v>Team 20</v>
      </c>
      <c r="C22">
        <f>IF(Calculations!$C22="","",VLOOKUP($B22,Calculations!$C$3:$T$31,2,FALSE))</f>
        <v>0</v>
      </c>
      <c r="D22">
        <f>IF(Calculations!$C22="","",VLOOKUP($B22,Calculations!$C$3:$T$31,3,FALSE))</f>
        <v>0</v>
      </c>
      <c r="E22">
        <f>IF(Calculations!$C22="","",VLOOKUP($B22,Calculations!$C$3:$T$31,4,FALSE))</f>
        <v>0</v>
      </c>
      <c r="F22">
        <f>IF(Calculations!$C22="","",VLOOKUP($B22,Calculations!$C$3:$T$31,5,FALSE))</f>
        <v>0</v>
      </c>
      <c r="G22">
        <f>IF(Calculations!$C22="","",VLOOKUP($B22,Calculations!$C$3:$T$31,6,FALSE))</f>
        <v>0</v>
      </c>
      <c r="H22">
        <f>IF(Calculations!$C22="","",VLOOKUP($B22,Calculations!$C$3:$T$31,7,FALSE))</f>
        <v>0</v>
      </c>
      <c r="I22">
        <f>IF(Calculations!$C22="","",VLOOKUP($B22,Calculations!$C$3:$T$31,10,FALSE))</f>
        <v>0</v>
      </c>
      <c r="J22">
        <f>IF(Calculations!$C22="","",VLOOKUP($B22,Calculations!$C$3:$T$31,11,FALSE))</f>
        <v>0</v>
      </c>
      <c r="K22">
        <f>IF(Calculations!$C22="","",VLOOKUP($B22,Calculations!$C$3:$T$31,12,FALSE))</f>
        <v>0</v>
      </c>
      <c r="L22">
        <f>IF(Calculations!$C22="","",VLOOKUP($B22,Calculations!$C$3:$T$31,13,FALSE))</f>
        <v>0</v>
      </c>
      <c r="M22">
        <f>IF(Calculations!$C22="","",VLOOKUP($B22,Calculations!$C$3:$T$31,14,FALSE))</f>
        <v>0</v>
      </c>
      <c r="N22">
        <f>IF(Calculations!$C22="","",VLOOKUP($B22,Calculations!$C$3:$T$31,17,FALSE))</f>
        <v>0</v>
      </c>
      <c r="O22">
        <f>IF(Calculations!$C22="","",VLOOKUP($B22,Calculations!$C$3:$U$31,19,FALSE))</f>
        <v>0</v>
      </c>
    </row>
    <row r="23" spans="1:16" x14ac:dyDescent="0.3">
      <c r="A23">
        <f>IF(Calculations!$C23="","",ROW($B23)-2)</f>
        <v>21</v>
      </c>
      <c r="B23" t="str">
        <f>IF(Calculations!$C23="","",VLOOKUP(SMALL(Calculations!$A$3:$A$34,A23),Calculations!$A$3:$C$34,3,FALSE))</f>
        <v>Team 21</v>
      </c>
      <c r="C23">
        <f>IF(Calculations!$C23="","",VLOOKUP($B23,Calculations!$C$3:$T$31,2,FALSE))</f>
        <v>0</v>
      </c>
      <c r="D23">
        <f>IF(Calculations!$C23="","",VLOOKUP($B23,Calculations!$C$3:$T$31,3,FALSE))</f>
        <v>0</v>
      </c>
      <c r="E23">
        <f>IF(Calculations!$C23="","",VLOOKUP($B23,Calculations!$C$3:$T$31,4,FALSE))</f>
        <v>0</v>
      </c>
      <c r="F23">
        <f>IF(Calculations!$C23="","",VLOOKUP($B23,Calculations!$C$3:$T$31,5,FALSE))</f>
        <v>0</v>
      </c>
      <c r="G23">
        <f>IF(Calculations!$C23="","",VLOOKUP($B23,Calculations!$C$3:$T$31,6,FALSE))</f>
        <v>0</v>
      </c>
      <c r="H23">
        <f>IF(Calculations!$C23="","",VLOOKUP($B23,Calculations!$C$3:$T$31,7,FALSE))</f>
        <v>0</v>
      </c>
      <c r="I23">
        <f>IF(Calculations!$C23="","",VLOOKUP($B23,Calculations!$C$3:$T$31,10,FALSE))</f>
        <v>0</v>
      </c>
      <c r="J23">
        <f>IF(Calculations!$C23="","",VLOOKUP($B23,Calculations!$C$3:$T$31,11,FALSE))</f>
        <v>0</v>
      </c>
      <c r="K23">
        <f>IF(Calculations!$C23="","",VLOOKUP($B23,Calculations!$C$3:$T$31,12,FALSE))</f>
        <v>0</v>
      </c>
      <c r="L23">
        <f>IF(Calculations!$C23="","",VLOOKUP($B23,Calculations!$C$3:$T$31,13,FALSE))</f>
        <v>0</v>
      </c>
      <c r="M23">
        <f>IF(Calculations!$C23="","",VLOOKUP($B23,Calculations!$C$3:$T$31,14,FALSE))</f>
        <v>0</v>
      </c>
      <c r="N23">
        <f>IF(Calculations!$C23="","",VLOOKUP($B23,Calculations!$C$3:$T$31,17,FALSE))</f>
        <v>0</v>
      </c>
      <c r="O23">
        <f>IF(Calculations!$C23="","",VLOOKUP($B23,Calculations!$C$3:$U$31,19,FALSE))</f>
        <v>0</v>
      </c>
    </row>
    <row r="24" spans="1:16" x14ac:dyDescent="0.3">
      <c r="A24">
        <f>IF(Calculations!$C24="","",ROW($B24)-2)</f>
        <v>22</v>
      </c>
      <c r="B24" t="str">
        <f>IF(Calculations!$C24="","",VLOOKUP(SMALL(Calculations!$A$3:$A$34,A24),Calculations!$A$3:$C$34,3,FALSE))</f>
        <v>Team 22</v>
      </c>
      <c r="C24">
        <f>IF(Calculations!$C24="","",VLOOKUP($B24,Calculations!$C$3:$T$31,2,FALSE))</f>
        <v>0</v>
      </c>
      <c r="D24">
        <f>IF(Calculations!$C24="","",VLOOKUP($B24,Calculations!$C$3:$T$31,3,FALSE))</f>
        <v>0</v>
      </c>
      <c r="E24">
        <f>IF(Calculations!$C24="","",VLOOKUP($B24,Calculations!$C$3:$T$31,4,FALSE))</f>
        <v>0</v>
      </c>
      <c r="F24">
        <f>IF(Calculations!$C24="","",VLOOKUP($B24,Calculations!$C$3:$T$31,5,FALSE))</f>
        <v>0</v>
      </c>
      <c r="G24">
        <f>IF(Calculations!$C24="","",VLOOKUP($B24,Calculations!$C$3:$T$31,6,FALSE))</f>
        <v>0</v>
      </c>
      <c r="H24">
        <f>IF(Calculations!$C24="","",VLOOKUP($B24,Calculations!$C$3:$T$31,7,FALSE))</f>
        <v>0</v>
      </c>
      <c r="I24">
        <f>IF(Calculations!$C24="","",VLOOKUP($B24,Calculations!$C$3:$T$31,10,FALSE))</f>
        <v>0</v>
      </c>
      <c r="J24">
        <f>IF(Calculations!$C24="","",VLOOKUP($B24,Calculations!$C$3:$T$31,11,FALSE))</f>
        <v>0</v>
      </c>
      <c r="K24">
        <f>IF(Calculations!$C24="","",VLOOKUP($B24,Calculations!$C$3:$T$31,12,FALSE))</f>
        <v>0</v>
      </c>
      <c r="L24">
        <f>IF(Calculations!$C24="","",VLOOKUP($B24,Calculations!$C$3:$T$31,13,FALSE))</f>
        <v>0</v>
      </c>
      <c r="M24">
        <f>IF(Calculations!$C24="","",VLOOKUP($B24,Calculations!$C$3:$T$31,14,FALSE))</f>
        <v>0</v>
      </c>
      <c r="N24">
        <f>IF(Calculations!$C24="","",VLOOKUP($B24,Calculations!$C$3:$T$31,17,FALSE))</f>
        <v>0</v>
      </c>
      <c r="O24">
        <f>IF(Calculations!$C24="","",VLOOKUP($B24,Calculations!$C$3:$U$31,19,FALSE))</f>
        <v>0</v>
      </c>
    </row>
    <row r="25" spans="1:16" x14ac:dyDescent="0.3">
      <c r="A25">
        <f>IF(Calculations!$C25="","",ROW($B25)-2)</f>
        <v>23</v>
      </c>
      <c r="B25" t="str">
        <f>IF(Calculations!$C25="","",VLOOKUP(SMALL(Calculations!$A$3:$A$34,A25),Calculations!$A$3:$C$34,3,FALSE))</f>
        <v>Team 23</v>
      </c>
      <c r="C25">
        <f>IF(Calculations!$C25="","",VLOOKUP($B25,Calculations!$C$3:$T$31,2,FALSE))</f>
        <v>0</v>
      </c>
      <c r="D25">
        <f>IF(Calculations!$C25="","",VLOOKUP($B25,Calculations!$C$3:$T$31,3,FALSE))</f>
        <v>0</v>
      </c>
      <c r="E25">
        <f>IF(Calculations!$C25="","",VLOOKUP($B25,Calculations!$C$3:$T$31,4,FALSE))</f>
        <v>0</v>
      </c>
      <c r="F25">
        <f>IF(Calculations!$C25="","",VLOOKUP($B25,Calculations!$C$3:$T$31,5,FALSE))</f>
        <v>0</v>
      </c>
      <c r="G25">
        <f>IF(Calculations!$C25="","",VLOOKUP($B25,Calculations!$C$3:$T$31,6,FALSE))</f>
        <v>0</v>
      </c>
      <c r="H25">
        <f>IF(Calculations!$C25="","",VLOOKUP($B25,Calculations!$C$3:$T$31,7,FALSE))</f>
        <v>0</v>
      </c>
      <c r="I25">
        <f>IF(Calculations!$C25="","",VLOOKUP($B25,Calculations!$C$3:$T$31,10,FALSE))</f>
        <v>0</v>
      </c>
      <c r="J25">
        <f>IF(Calculations!$C25="","",VLOOKUP($B25,Calculations!$C$3:$T$31,11,FALSE))</f>
        <v>0</v>
      </c>
      <c r="K25">
        <f>IF(Calculations!$C25="","",VLOOKUP($B25,Calculations!$C$3:$T$31,12,FALSE))</f>
        <v>0</v>
      </c>
      <c r="L25">
        <f>IF(Calculations!$C25="","",VLOOKUP($B25,Calculations!$C$3:$T$31,13,FALSE))</f>
        <v>0</v>
      </c>
      <c r="M25">
        <f>IF(Calculations!$C25="","",VLOOKUP($B25,Calculations!$C$3:$T$31,14,FALSE))</f>
        <v>0</v>
      </c>
      <c r="N25">
        <f>IF(Calculations!$C25="","",VLOOKUP($B25,Calculations!$C$3:$T$31,17,FALSE))</f>
        <v>0</v>
      </c>
      <c r="O25">
        <f>IF(Calculations!$C25="","",VLOOKUP($B25,Calculations!$C$3:$U$31,19,FALSE))</f>
        <v>0</v>
      </c>
    </row>
    <row r="26" spans="1:16" x14ac:dyDescent="0.3">
      <c r="A26">
        <f>IF(Calculations!$C26="","",ROW($B26)-2)</f>
        <v>24</v>
      </c>
      <c r="B26" t="str">
        <f>IF(Calculations!$C26="","",VLOOKUP(SMALL(Calculations!$A$3:$A$34,A26),Calculations!$A$3:$C$34,3,FALSE))</f>
        <v>Team 24</v>
      </c>
      <c r="C26">
        <f>IF(Calculations!$C26="","",VLOOKUP($B26,Calculations!$C$3:$T$31,2,FALSE))</f>
        <v>0</v>
      </c>
      <c r="D26">
        <f>IF(Calculations!$C26="","",VLOOKUP($B26,Calculations!$C$3:$T$31,3,FALSE))</f>
        <v>0</v>
      </c>
      <c r="E26">
        <f>IF(Calculations!$C26="","",VLOOKUP($B26,Calculations!$C$3:$T$31,4,FALSE))</f>
        <v>0</v>
      </c>
      <c r="F26">
        <f>IF(Calculations!$C26="","",VLOOKUP($B26,Calculations!$C$3:$T$31,5,FALSE))</f>
        <v>0</v>
      </c>
      <c r="G26">
        <f>IF(Calculations!$C26="","",VLOOKUP($B26,Calculations!$C$3:$T$31,6,FALSE))</f>
        <v>0</v>
      </c>
      <c r="H26">
        <f>IF(Calculations!$C26="","",VLOOKUP($B26,Calculations!$C$3:$T$31,7,FALSE))</f>
        <v>0</v>
      </c>
      <c r="I26">
        <f>IF(Calculations!$C26="","",VLOOKUP($B26,Calculations!$C$3:$T$31,10,FALSE))</f>
        <v>0</v>
      </c>
      <c r="J26">
        <f>IF(Calculations!$C26="","",VLOOKUP($B26,Calculations!$C$3:$T$31,11,FALSE))</f>
        <v>0</v>
      </c>
      <c r="K26">
        <f>IF(Calculations!$C26="","",VLOOKUP($B26,Calculations!$C$3:$T$31,12,FALSE))</f>
        <v>0</v>
      </c>
      <c r="L26">
        <f>IF(Calculations!$C26="","",VLOOKUP($B26,Calculations!$C$3:$T$31,13,FALSE))</f>
        <v>0</v>
      </c>
      <c r="M26">
        <f>IF(Calculations!$C26="","",VLOOKUP($B26,Calculations!$C$3:$T$31,14,FALSE))</f>
        <v>0</v>
      </c>
      <c r="N26">
        <f>IF(Calculations!$C26="","",VLOOKUP($B26,Calculations!$C$3:$T$31,17,FALSE))</f>
        <v>0</v>
      </c>
      <c r="O26">
        <f>IF(Calculations!$C26="","",VLOOKUP($B26,Calculations!$C$3:$U$31,19,FALSE))</f>
        <v>0</v>
      </c>
    </row>
    <row r="27" spans="1:16" x14ac:dyDescent="0.3">
      <c r="A27">
        <f>IF(Calculations!$C27="","",ROW($B27)-2)</f>
        <v>25</v>
      </c>
      <c r="B27" t="str">
        <f>IF(Calculations!$C27="","",VLOOKUP(SMALL(Calculations!$A$3:$A$34,A27),Calculations!$A$3:$C$34,3,FALSE))</f>
        <v>Team 25</v>
      </c>
      <c r="C27">
        <f>IF(Calculations!$C27="","",VLOOKUP($B27,Calculations!$C$3:$T$31,2,FALSE))</f>
        <v>0</v>
      </c>
      <c r="D27">
        <f>IF(Calculations!$C27="","",VLOOKUP($B27,Calculations!$C$3:$T$31,3,FALSE))</f>
        <v>0</v>
      </c>
      <c r="E27">
        <f>IF(Calculations!$C27="","",VLOOKUP($B27,Calculations!$C$3:$T$31,4,FALSE))</f>
        <v>0</v>
      </c>
      <c r="F27">
        <f>IF(Calculations!$C27="","",VLOOKUP($B27,Calculations!$C$3:$T$31,5,FALSE))</f>
        <v>0</v>
      </c>
      <c r="G27">
        <f>IF(Calculations!$C27="","",VLOOKUP($B27,Calculations!$C$3:$T$31,6,FALSE))</f>
        <v>0</v>
      </c>
      <c r="H27">
        <f>IF(Calculations!$C27="","",VLOOKUP($B27,Calculations!$C$3:$T$31,7,FALSE))</f>
        <v>0</v>
      </c>
      <c r="I27">
        <f>IF(Calculations!$C27="","",VLOOKUP($B27,Calculations!$C$3:$T$31,10,FALSE))</f>
        <v>0</v>
      </c>
      <c r="J27">
        <f>IF(Calculations!$C27="","",VLOOKUP($B27,Calculations!$C$3:$T$31,11,FALSE))</f>
        <v>0</v>
      </c>
      <c r="K27">
        <f>IF(Calculations!$C27="","",VLOOKUP($B27,Calculations!$C$3:$T$31,12,FALSE))</f>
        <v>0</v>
      </c>
      <c r="L27">
        <f>IF(Calculations!$C27="","",VLOOKUP($B27,Calculations!$C$3:$T$31,13,FALSE))</f>
        <v>0</v>
      </c>
      <c r="M27">
        <f>IF(Calculations!$C27="","",VLOOKUP($B27,Calculations!$C$3:$T$31,14,FALSE))</f>
        <v>0</v>
      </c>
      <c r="N27">
        <f>IF(Calculations!$C27="","",VLOOKUP($B27,Calculations!$C$3:$T$31,17,FALSE))</f>
        <v>0</v>
      </c>
      <c r="O27">
        <f>IF(Calculations!$C27="","",VLOOKUP($B27,Calculations!$C$3:$U$31,19,FALSE))</f>
        <v>0</v>
      </c>
    </row>
    <row r="28" spans="1:16" x14ac:dyDescent="0.3">
      <c r="A28">
        <f>IF(Calculations!$C28="","",ROW($B28)-2)</f>
        <v>26</v>
      </c>
      <c r="B28" t="str">
        <f>IF(Calculations!$C28="","",VLOOKUP(SMALL(Calculations!$A$3:$A$34,A28),Calculations!$A$3:$C$34,3,FALSE))</f>
        <v>Team 26</v>
      </c>
      <c r="C28">
        <f>IF(Calculations!$C28="","",VLOOKUP($B28,Calculations!$C$3:$T$31,2,FALSE))</f>
        <v>0</v>
      </c>
      <c r="D28">
        <f>IF(Calculations!$C28="","",VLOOKUP($B28,Calculations!$C$3:$T$31,3,FALSE))</f>
        <v>0</v>
      </c>
      <c r="E28">
        <f>IF(Calculations!$C28="","",VLOOKUP($B28,Calculations!$C$3:$T$31,4,FALSE))</f>
        <v>0</v>
      </c>
      <c r="F28">
        <f>IF(Calculations!$C28="","",VLOOKUP($B28,Calculations!$C$3:$T$31,5,FALSE))</f>
        <v>0</v>
      </c>
      <c r="G28">
        <f>IF(Calculations!$C28="","",VLOOKUP($B28,Calculations!$C$3:$T$31,6,FALSE))</f>
        <v>0</v>
      </c>
      <c r="H28">
        <f>IF(Calculations!$C28="","",VLOOKUP($B28,Calculations!$C$3:$T$31,7,FALSE))</f>
        <v>0</v>
      </c>
      <c r="I28">
        <f>IF(Calculations!$C28="","",VLOOKUP($B28,Calculations!$C$3:$T$31,10,FALSE))</f>
        <v>0</v>
      </c>
      <c r="J28">
        <f>IF(Calculations!$C28="","",VLOOKUP($B28,Calculations!$C$3:$T$31,11,FALSE))</f>
        <v>0</v>
      </c>
      <c r="K28">
        <f>IF(Calculations!$C28="","",VLOOKUP($B28,Calculations!$C$3:$T$31,12,FALSE))</f>
        <v>0</v>
      </c>
      <c r="L28">
        <f>IF(Calculations!$C28="","",VLOOKUP($B28,Calculations!$C$3:$T$31,13,FALSE))</f>
        <v>0</v>
      </c>
      <c r="M28">
        <f>IF(Calculations!$C28="","",VLOOKUP($B28,Calculations!$C$3:$T$31,14,FALSE))</f>
        <v>0</v>
      </c>
      <c r="N28">
        <f>IF(Calculations!$C28="","",VLOOKUP($B28,Calculations!$C$3:$T$31,17,FALSE))</f>
        <v>0</v>
      </c>
      <c r="O28">
        <f>IF(Calculations!$C28="","",VLOOKUP($B28,Calculations!$C$3:$U$31,19,FALSE))</f>
        <v>0</v>
      </c>
    </row>
    <row r="29" spans="1:16" x14ac:dyDescent="0.3">
      <c r="A29">
        <f>IF(Calculations!$C29="","",ROW($B29)-2)</f>
        <v>27</v>
      </c>
      <c r="B29" t="str">
        <f>IF(Calculations!$C29="","",VLOOKUP(SMALL(Calculations!$A$3:$A$34,A29),Calculations!$A$3:$C$34,3,FALSE))</f>
        <v>Team 27</v>
      </c>
      <c r="C29">
        <f>IF(Calculations!$C29="","",VLOOKUP($B29,Calculations!$C$3:$T$31,2,FALSE))</f>
        <v>0</v>
      </c>
      <c r="D29">
        <f>IF(Calculations!$C29="","",VLOOKUP($B29,Calculations!$C$3:$T$31,3,FALSE))</f>
        <v>0</v>
      </c>
      <c r="E29">
        <f>IF(Calculations!$C29="","",VLOOKUP($B29,Calculations!$C$3:$T$31,4,FALSE))</f>
        <v>0</v>
      </c>
      <c r="F29">
        <f>IF(Calculations!$C29="","",VLOOKUP($B29,Calculations!$C$3:$T$31,5,FALSE))</f>
        <v>0</v>
      </c>
      <c r="G29">
        <f>IF(Calculations!$C29="","",VLOOKUP($B29,Calculations!$C$3:$T$31,6,FALSE))</f>
        <v>0</v>
      </c>
      <c r="H29">
        <f>IF(Calculations!$C29="","",VLOOKUP($B29,Calculations!$C$3:$T$31,7,FALSE))</f>
        <v>0</v>
      </c>
      <c r="I29">
        <f>IF(Calculations!$C29="","",VLOOKUP($B29,Calculations!$C$3:$T$31,10,FALSE))</f>
        <v>0</v>
      </c>
      <c r="J29">
        <f>IF(Calculations!$C29="","",VLOOKUP($B29,Calculations!$C$3:$T$31,11,FALSE))</f>
        <v>0</v>
      </c>
      <c r="K29">
        <f>IF(Calculations!$C29="","",VLOOKUP($B29,Calculations!$C$3:$T$31,12,FALSE))</f>
        <v>0</v>
      </c>
      <c r="L29">
        <f>IF(Calculations!$C29="","",VLOOKUP($B29,Calculations!$C$3:$T$31,13,FALSE))</f>
        <v>0</v>
      </c>
      <c r="M29">
        <f>IF(Calculations!$C29="","",VLOOKUP($B29,Calculations!$C$3:$T$31,14,FALSE))</f>
        <v>0</v>
      </c>
      <c r="N29">
        <f>IF(Calculations!$C29="","",VLOOKUP($B29,Calculations!$C$3:$T$31,17,FALSE))</f>
        <v>0</v>
      </c>
      <c r="O29">
        <f>IF(Calculations!$C29="","",VLOOKUP($B29,Calculations!$C$3:$U$31,19,FALSE))</f>
        <v>0</v>
      </c>
      <c r="P29" t="str">
        <f>IF([1]Calculations!$C29="","",VLOOKUP($B29,[1]Calculations!$C$3:$U$31,19,FALSE))</f>
        <v/>
      </c>
    </row>
    <row r="30" spans="1:16" x14ac:dyDescent="0.3">
      <c r="A30">
        <f>IF(Calculations!$C30="","",ROW($B30)-2)</f>
        <v>28</v>
      </c>
      <c r="B30" t="str">
        <f>IF(Calculations!$C30="","",VLOOKUP(SMALL(Calculations!$A$3:$A$34,A30),Calculations!$A$3:$C$34,3,FALSE))</f>
        <v>Team 28</v>
      </c>
      <c r="C30">
        <f>IF(Calculations!$C30="","",VLOOKUP($B30,Calculations!$C$3:$T$31,2,FALSE))</f>
        <v>0</v>
      </c>
      <c r="D30">
        <f>IF(Calculations!$C30="","",VLOOKUP($B30,Calculations!$C$3:$T$31,3,FALSE))</f>
        <v>0</v>
      </c>
      <c r="E30">
        <f>IF(Calculations!$C30="","",VLOOKUP($B30,Calculations!$C$3:$T$31,4,FALSE))</f>
        <v>0</v>
      </c>
      <c r="F30">
        <f>IF(Calculations!$C30="","",VLOOKUP($B30,Calculations!$C$3:$T$31,5,FALSE))</f>
        <v>0</v>
      </c>
      <c r="G30">
        <f>IF(Calculations!$C30="","",VLOOKUP($B30,Calculations!$C$3:$T$31,6,FALSE))</f>
        <v>0</v>
      </c>
      <c r="H30">
        <f>IF(Calculations!$C30="","",VLOOKUP($B30,Calculations!$C$3:$T$31,7,FALSE))</f>
        <v>0</v>
      </c>
      <c r="I30">
        <f>IF(Calculations!$C30="","",VLOOKUP($B30,Calculations!$C$3:$T$31,10,FALSE))</f>
        <v>0</v>
      </c>
      <c r="J30">
        <f>IF(Calculations!$C30="","",VLOOKUP($B30,Calculations!$C$3:$T$31,11,FALSE))</f>
        <v>0</v>
      </c>
      <c r="K30">
        <f>IF(Calculations!$C30="","",VLOOKUP($B30,Calculations!$C$3:$T$31,12,FALSE))</f>
        <v>0</v>
      </c>
      <c r="L30">
        <f>IF(Calculations!$C30="","",VLOOKUP($B30,Calculations!$C$3:$T$31,13,FALSE))</f>
        <v>0</v>
      </c>
      <c r="M30">
        <f>IF(Calculations!$C30="","",VLOOKUP($B30,Calculations!$C$3:$T$31,14,FALSE))</f>
        <v>0</v>
      </c>
      <c r="N30">
        <f>IF(Calculations!$C30="","",VLOOKUP($B30,Calculations!$C$3:$T$31,17,FALSE))</f>
        <v>0</v>
      </c>
      <c r="O30">
        <f>IF(Calculations!$C30="","",VLOOKUP($B30,Calculations!$C$3:$U$31,19,FALSE))</f>
        <v>0</v>
      </c>
      <c r="P30" t="str">
        <f>IF([1]Calculations!$C30="","",VLOOKUP($B30,[1]Calculations!$C$3:$U$31,19,FALSE))</f>
        <v/>
      </c>
    </row>
    <row r="31" spans="1:16" x14ac:dyDescent="0.3">
      <c r="A31">
        <f>IF(Calculations!$C31="","",ROW($B31)-2)</f>
        <v>29</v>
      </c>
      <c r="B31" t="str">
        <f>IF(Calculations!$C31="","",VLOOKUP(SMALL(Calculations!$A$3:$A$34,A31),Calculations!$A$3:$C$34,3,FALSE))</f>
        <v>Team 29</v>
      </c>
      <c r="C31">
        <f>IF(Calculations!$C31="","",VLOOKUP($B31,Calculations!$C$3:$T$31,2,FALSE))</f>
        <v>0</v>
      </c>
      <c r="D31">
        <f>IF(Calculations!$C31="","",VLOOKUP($B31,Calculations!$C$3:$T$31,3,FALSE))</f>
        <v>0</v>
      </c>
      <c r="E31">
        <f>IF(Calculations!$C31="","",VLOOKUP($B31,Calculations!$C$3:$T$31,4,FALSE))</f>
        <v>0</v>
      </c>
      <c r="F31">
        <f>IF(Calculations!$C31="","",VLOOKUP($B31,Calculations!$C$3:$T$31,5,FALSE))</f>
        <v>0</v>
      </c>
      <c r="G31">
        <f>IF(Calculations!$C31="","",VLOOKUP($B31,Calculations!$C$3:$T$31,6,FALSE))</f>
        <v>0</v>
      </c>
      <c r="H31">
        <f>IF(Calculations!$C31="","",VLOOKUP($B31,Calculations!$C$3:$T$31,7,FALSE))</f>
        <v>0</v>
      </c>
      <c r="I31">
        <f>IF(Calculations!$C31="","",VLOOKUP($B31,Calculations!$C$3:$T$31,10,FALSE))</f>
        <v>0</v>
      </c>
      <c r="J31">
        <f>IF(Calculations!$C31="","",VLOOKUP($B31,Calculations!$C$3:$T$31,11,FALSE))</f>
        <v>0</v>
      </c>
      <c r="K31">
        <f>IF(Calculations!$C31="","",VLOOKUP($B31,Calculations!$C$3:$T$31,12,FALSE))</f>
        <v>0</v>
      </c>
      <c r="L31">
        <f>IF(Calculations!$C31="","",VLOOKUP($B31,Calculations!$C$3:$T$31,13,FALSE))</f>
        <v>0</v>
      </c>
      <c r="M31">
        <f>IF(Calculations!$C31="","",VLOOKUP($B31,Calculations!$C$3:$T$31,14,FALSE))</f>
        <v>0</v>
      </c>
      <c r="N31">
        <f>IF(Calculations!$C31="","",VLOOKUP($B31,Calculations!$C$3:$T$31,17,FALSE))</f>
        <v>0</v>
      </c>
      <c r="O31">
        <f>IF(Calculations!$C31="","",VLOOKUP($B31,Calculations!$C$3:$U$31,19,FALSE))</f>
        <v>0</v>
      </c>
      <c r="P31" t="str">
        <f>IF([1]Calculations!$C31="","",VLOOKUP($B31,[1]Calculations!$C$3:$U$31,19,FALSE))</f>
        <v/>
      </c>
    </row>
    <row r="32" spans="1:16" x14ac:dyDescent="0.3">
      <c r="A32" t="str">
        <f>IF(Calculations!$C32="","",ROW($B32)-2)</f>
        <v/>
      </c>
      <c r="B32" t="str">
        <f>IF(Calculations!$C32="","",VLOOKUP(SMALL(Calculations!$A$3:$A$34,A32),Calculations!$A$3:$C$34,3,FALSE))</f>
        <v/>
      </c>
      <c r="C32" t="str">
        <f>IF(Calculations!$C32="","",VLOOKUP($B32,Calculations!$C$3:$T$31,2,FALSE))</f>
        <v/>
      </c>
      <c r="D32" t="str">
        <f>IF(Calculations!$C32="","",VLOOKUP($B32,Calculations!$C$3:$T$31,3,FALSE))</f>
        <v/>
      </c>
      <c r="E32" t="str">
        <f>IF(Calculations!$C32="","",VLOOKUP($B32,Calculations!$C$3:$T$31,4,FALSE))</f>
        <v/>
      </c>
      <c r="F32" t="str">
        <f>IF(Calculations!$C32="","",VLOOKUP($B32,Calculations!$C$3:$T$31,5,FALSE))</f>
        <v/>
      </c>
      <c r="G32" t="str">
        <f>IF(Calculations!$C32="","",VLOOKUP($B32,Calculations!$C$3:$T$31,6,FALSE))</f>
        <v/>
      </c>
      <c r="H32" t="str">
        <f>IF(Calculations!$C32="","",VLOOKUP($B32,Calculations!$C$3:$T$31,7,FALSE))</f>
        <v/>
      </c>
      <c r="I32" t="str">
        <f>IF(Calculations!$C32="","",VLOOKUP($B32,Calculations!$C$3:$T$31,10,FALSE))</f>
        <v/>
      </c>
      <c r="J32" t="str">
        <f>IF(Calculations!$C32="","",VLOOKUP($B32,Calculations!$C$3:$T$31,11,FALSE))</f>
        <v/>
      </c>
      <c r="K32" t="str">
        <f>IF(Calculations!$C32="","",VLOOKUP($B32,Calculations!$C$3:$T$31,12,FALSE))</f>
        <v/>
      </c>
      <c r="L32" t="str">
        <f>IF(Calculations!$C32="","",VLOOKUP($B32,Calculations!$C$3:$T$31,13,FALSE))</f>
        <v/>
      </c>
      <c r="M32" t="str">
        <f>IF(Calculations!$C32="","",VLOOKUP($B32,Calculations!$C$3:$T$31,14,FALSE))</f>
        <v/>
      </c>
      <c r="N32" t="str">
        <f>IF(Calculations!$C32="","",VLOOKUP($B32,Calculations!$C$3:$T$31,17,FALSE))</f>
        <v/>
      </c>
      <c r="O32" t="str">
        <f>IF(Calculations!$C32="","",VLOOKUP($B32,Calculations!$C$3:$U$31,19,FALSE))</f>
        <v/>
      </c>
      <c r="P32" t="str">
        <f>IF([1]Calculations!$C32="","",VLOOKUP($B32,[1]Calculations!$C$3:$U$31,19,FALSE))</f>
        <v/>
      </c>
    </row>
    <row r="33" spans="1:16" x14ac:dyDescent="0.3">
      <c r="A33" t="str">
        <f>IF(Calculations!$C33="","",ROW($B33)-2)</f>
        <v/>
      </c>
      <c r="B33" t="str">
        <f>IF(Calculations!$C33="","",VLOOKUP(SMALL(Calculations!$A$3:$A$34,A33),Calculations!$A$3:$C$34,3,FALSE))</f>
        <v/>
      </c>
      <c r="C33" t="str">
        <f>IF(Calculations!$C33="","",VLOOKUP($B33,Calculations!$C$3:$T$31,2,FALSE))</f>
        <v/>
      </c>
      <c r="D33" t="str">
        <f>IF(Calculations!$C33="","",VLOOKUP($B33,Calculations!$C$3:$T$31,3,FALSE))</f>
        <v/>
      </c>
      <c r="E33" t="str">
        <f>IF(Calculations!$C33="","",VLOOKUP($B33,Calculations!$C$3:$T$31,4,FALSE))</f>
        <v/>
      </c>
      <c r="F33" t="str">
        <f>IF(Calculations!$C33="","",VLOOKUP($B33,Calculations!$C$3:$T$31,5,FALSE))</f>
        <v/>
      </c>
      <c r="G33" t="str">
        <f>IF(Calculations!$C33="","",VLOOKUP($B33,Calculations!$C$3:$T$31,6,FALSE))</f>
        <v/>
      </c>
      <c r="H33" t="str">
        <f>IF(Calculations!$C33="","",VLOOKUP($B33,Calculations!$C$3:$T$31,7,FALSE))</f>
        <v/>
      </c>
      <c r="I33" t="str">
        <f>IF(Calculations!$C33="","",VLOOKUP($B33,Calculations!$C$3:$T$31,10,FALSE))</f>
        <v/>
      </c>
      <c r="J33" t="str">
        <f>IF(Calculations!$C33="","",VLOOKUP($B33,Calculations!$C$3:$T$31,11,FALSE))</f>
        <v/>
      </c>
      <c r="K33" t="str">
        <f>IF(Calculations!$C33="","",VLOOKUP($B33,Calculations!$C$3:$T$31,12,FALSE))</f>
        <v/>
      </c>
      <c r="L33" t="str">
        <f>IF(Calculations!$C33="","",VLOOKUP($B33,Calculations!$C$3:$T$31,13,FALSE))</f>
        <v/>
      </c>
      <c r="M33" t="str">
        <f>IF(Calculations!$C33="","",VLOOKUP($B33,Calculations!$C$3:$T$31,14,FALSE))</f>
        <v/>
      </c>
      <c r="N33" t="str">
        <f>IF(Calculations!$C33="","",VLOOKUP($B33,Calculations!$C$3:$T$31,17,FALSE))</f>
        <v/>
      </c>
      <c r="O33" t="str">
        <f>IF(Calculations!$C33="","",VLOOKUP($B33,Calculations!$C$3:$U$31,19,FALSE))</f>
        <v/>
      </c>
      <c r="P33" t="str">
        <f>IF([1]Calculations!$C33="","",VLOOKUP($B33,[1]Calculations!$C$3:$U$31,19,FALSE))</f>
        <v/>
      </c>
    </row>
    <row r="34" spans="1:16" x14ac:dyDescent="0.3">
      <c r="A34" t="str">
        <f>IF(Calculations!$C34="","",ROW($B34)-2)</f>
        <v/>
      </c>
      <c r="B34" t="str">
        <f>IF(Calculations!$C34="","",VLOOKUP(SMALL(Calculations!$A$3:$A$34,A34),Calculations!$A$3:$C$34,3,FALSE))</f>
        <v/>
      </c>
      <c r="C34" t="str">
        <f>IF(Calculations!$C34="","",VLOOKUP($B34,Calculations!$C$3:$T$31,2,FALSE))</f>
        <v/>
      </c>
      <c r="D34" t="str">
        <f>IF(Calculations!$C34="","",VLOOKUP($B34,Calculations!$C$3:$T$31,3,FALSE))</f>
        <v/>
      </c>
      <c r="E34" t="str">
        <f>IF(Calculations!$C34="","",VLOOKUP($B34,Calculations!$C$3:$T$31,4,FALSE))</f>
        <v/>
      </c>
      <c r="F34" t="str">
        <f>IF(Calculations!$C34="","",VLOOKUP($B34,Calculations!$C$3:$T$31,5,FALSE))</f>
        <v/>
      </c>
      <c r="G34" t="str">
        <f>IF(Calculations!$C34="","",VLOOKUP($B34,Calculations!$C$3:$T$31,6,FALSE))</f>
        <v/>
      </c>
      <c r="H34" t="str">
        <f>IF(Calculations!$C34="","",VLOOKUP($B34,Calculations!$C$3:$T$31,7,FALSE))</f>
        <v/>
      </c>
      <c r="I34" t="str">
        <f>IF(Calculations!$C34="","",VLOOKUP($B34,Calculations!$C$3:$T$31,10,FALSE))</f>
        <v/>
      </c>
      <c r="J34" t="str">
        <f>IF(Calculations!$C34="","",VLOOKUP($B34,Calculations!$C$3:$T$31,11,FALSE))</f>
        <v/>
      </c>
      <c r="K34" t="str">
        <f>IF(Calculations!$C34="","",VLOOKUP($B34,Calculations!$C$3:$T$31,12,FALSE))</f>
        <v/>
      </c>
      <c r="L34" t="str">
        <f>IF(Calculations!$C34="","",VLOOKUP($B34,Calculations!$C$3:$T$31,13,FALSE))</f>
        <v/>
      </c>
      <c r="M34" t="str">
        <f>IF(Calculations!$C34="","",VLOOKUP($B34,Calculations!$C$3:$T$31,14,FALSE))</f>
        <v/>
      </c>
      <c r="N34" t="str">
        <f>IF(Calculations!$C34="","",VLOOKUP($B34,Calculations!$C$3:$T$31,17,FALSE))</f>
        <v/>
      </c>
      <c r="O34" t="str">
        <f>IF(Calculations!$C34="","",VLOOKUP($B34,Calculations!$C$3:$U$31,19,FALSE))</f>
        <v/>
      </c>
      <c r="P34" t="str">
        <f>IF([1]Calculations!$C34="","",VLOOKUP($B34,[1]Calculations!$C$3:$U$31,19,FALSE))</f>
        <v/>
      </c>
    </row>
    <row r="35" spans="1:16" x14ac:dyDescent="0.3">
      <c r="B35" t="str">
        <f>IF(Calculations!$C35="","",VLOOKUP(SMALL(Calculations!$A$3:$A$31,A35),Calculations!$A$3:$C$31,3,FALSE))</f>
        <v/>
      </c>
      <c r="C35" t="str">
        <f>IF(Calculations!$C35="","",VLOOKUP($B35,Calculations!$C$3:$T$31,2,FALSE))</f>
        <v/>
      </c>
      <c r="D35" t="str">
        <f>IF(Calculations!$C35="","",VLOOKUP($B35,Calculations!$C$3:$T$31,3,FALSE))</f>
        <v/>
      </c>
      <c r="E35" t="str">
        <f>IF(Calculations!$C35="","",VLOOKUP($B35,Calculations!$C$3:$T$31,4,FALSE))</f>
        <v/>
      </c>
      <c r="F35" t="str">
        <f>IF(Calculations!$C35="","",VLOOKUP($B35,Calculations!$C$3:$T$31,5,FALSE))</f>
        <v/>
      </c>
      <c r="G35" t="str">
        <f>IF(Calculations!$C35="","",VLOOKUP($B35,Calculations!$C$3:$T$31,6,FALSE))</f>
        <v/>
      </c>
      <c r="H35" t="str">
        <f>IF(Calculations!$C35="","",VLOOKUP($B35,Calculations!$C$3:$T$31,7,FALSE))</f>
        <v/>
      </c>
      <c r="I35" t="str">
        <f>IF(Calculations!$C35="","",VLOOKUP($B35,Calculations!$C$3:$T$31,10,FALSE))</f>
        <v/>
      </c>
      <c r="J35" t="str">
        <f>IF(Calculations!$C35="","",VLOOKUP($B35,Calculations!$C$3:$T$31,11,FALSE))</f>
        <v/>
      </c>
      <c r="K35" t="str">
        <f>IF(Calculations!$C35="","",VLOOKUP($B35,Calculations!$C$3:$T$31,12,FALSE))</f>
        <v/>
      </c>
      <c r="L35" t="str">
        <f>IF(Calculations!$C35="","",VLOOKUP($B35,Calculations!$C$3:$T$31,13,FALSE))</f>
        <v/>
      </c>
      <c r="M35" t="str">
        <f>IF(Calculations!$C35="","",VLOOKUP($B35,Calculations!$C$3:$T$31,14,FALSE))</f>
        <v/>
      </c>
      <c r="N35" t="str">
        <f>IF(Calculations!$C35="","",VLOOKUP($B35,Calculations!$C$3:$T$31,17,FALSE))</f>
        <v/>
      </c>
      <c r="O35" t="str">
        <f>IF(Calculations!$C35="","",VLOOKUP($B35,Calculations!$C$3:$U$31,19,FALSE))</f>
        <v/>
      </c>
    </row>
    <row r="36" spans="1:16" x14ac:dyDescent="0.3">
      <c r="C36" t="str">
        <f>IF(Calculations!$C36="","",VLOOKUP($B36,Calculations!$C$3:$T$31,2,FALSE))</f>
        <v/>
      </c>
      <c r="D36" t="str">
        <f>IF(Calculations!$C36="","",VLOOKUP($B36,Calculations!$C$3:$T$31,3,FALSE))</f>
        <v/>
      </c>
      <c r="E36" t="str">
        <f>IF(Calculations!$C36="","",VLOOKUP($B36,Calculations!$C$3:$T$31,4,FALSE))</f>
        <v/>
      </c>
      <c r="F36" t="str">
        <f>IF(Calculations!$C36="","",VLOOKUP($B36,Calculations!$C$3:$T$31,5,FALSE))</f>
        <v/>
      </c>
      <c r="G36" t="str">
        <f>IF(Calculations!$C36="","",VLOOKUP($B36,Calculations!$C$3:$T$31,6,FALSE))</f>
        <v/>
      </c>
      <c r="H36" t="str">
        <f>IF(Calculations!$C36="","",VLOOKUP($B36,Calculations!$C$3:$T$31,7,FALSE))</f>
        <v/>
      </c>
      <c r="I36" t="str">
        <f>IF(Calculations!$C36="","",VLOOKUP($B36,Calculations!$C$3:$T$31,10,FALSE))</f>
        <v/>
      </c>
      <c r="J36" t="str">
        <f>IF(Calculations!$C36="","",VLOOKUP($B36,Calculations!$C$3:$T$31,11,FALSE))</f>
        <v/>
      </c>
      <c r="K36" t="str">
        <f>IF(Calculations!$C36="","",VLOOKUP($B36,Calculations!$C$3:$T$31,12,FALSE))</f>
        <v/>
      </c>
      <c r="L36" t="str">
        <f>IF(Calculations!$C36="","",VLOOKUP($B36,Calculations!$C$3:$T$31,13,FALSE))</f>
        <v/>
      </c>
      <c r="M36" t="str">
        <f>IF(Calculations!$C36="","",VLOOKUP($B36,Calculations!$C$3:$T$31,14,FALSE))</f>
        <v/>
      </c>
      <c r="N36" t="str">
        <f>IF(Calculations!$C36="","",VLOOKUP($B36,Calculations!$C$3:$T$31,17,FALSE))</f>
        <v/>
      </c>
      <c r="O36" t="str">
        <f>IF(Calculations!$C36="","",VLOOKUP($B36,Calculations!$C$3:$U$31,19,FALSE))</f>
        <v/>
      </c>
    </row>
    <row r="37" spans="1:16" x14ac:dyDescent="0.3">
      <c r="D37" t="str">
        <f>IF(Calculations!$C37="","",VLOOKUP($B37,Calculations!$C$3:$T$31,3,FALSE))</f>
        <v/>
      </c>
      <c r="E37" t="str">
        <f>IF(Calculations!$C37="","",VLOOKUP($B37,Calculations!$C$3:$T$31,4,FALSE))</f>
        <v/>
      </c>
      <c r="F37" t="str">
        <f>IF(Calculations!$C37="","",VLOOKUP($B37,Calculations!$C$3:$T$31,5,FALSE))</f>
        <v/>
      </c>
      <c r="G37" t="str">
        <f>IF(Calculations!$C37="","",VLOOKUP($B37,Calculations!$C$3:$T$31,6,FALSE))</f>
        <v/>
      </c>
      <c r="H37" t="str">
        <f>IF(Calculations!$C37="","",VLOOKUP($B37,Calculations!$C$3:$T$31,7,FALSE))</f>
        <v/>
      </c>
      <c r="I37" t="str">
        <f>IF(Calculations!$C37="","",VLOOKUP($B37,Calculations!$C$3:$T$31,10,FALSE))</f>
        <v/>
      </c>
      <c r="J37" t="str">
        <f>IF(Calculations!$C37="","",VLOOKUP($B37,Calculations!$C$3:$T$31,11,FALSE))</f>
        <v/>
      </c>
      <c r="K37" t="str">
        <f>IF(Calculations!$C37="","",VLOOKUP($B37,Calculations!$C$3:$T$31,12,FALSE))</f>
        <v/>
      </c>
      <c r="L37" t="str">
        <f>IF(Calculations!$C37="","",VLOOKUP($B37,Calculations!$C$3:$T$31,13,FALSE))</f>
        <v/>
      </c>
      <c r="M37" t="str">
        <f>IF(Calculations!$C37="","",VLOOKUP($B37,Calculations!$C$3:$T$31,14,FALSE))</f>
        <v/>
      </c>
      <c r="O37" t="str">
        <f>IF(Calculations!$C37="","",VLOOKUP($B37,Calculations!$C$3:$T$31,19,FALSE))</f>
        <v/>
      </c>
    </row>
    <row r="38" spans="1:16" x14ac:dyDescent="0.3">
      <c r="D38" t="str">
        <f>IF(Calculations!$C38="","",VLOOKUP($B38,Calculations!$C$3:$T$31,3,FALSE))</f>
        <v/>
      </c>
      <c r="E38" t="str">
        <f>IF(Calculations!$C38="","",VLOOKUP($B38,Calculations!$C$3:$T$31,4,FALSE))</f>
        <v/>
      </c>
      <c r="G38" t="str">
        <f>IF(Calculations!$C38="","",VLOOKUP($B38,Calculations!$C$3:$T$31,6,FALSE))</f>
        <v/>
      </c>
      <c r="H38" t="str">
        <f>IF(Calculations!$C38="","",VLOOKUP($B38,Calculations!$C$3:$T$31,7,FALSE))</f>
        <v/>
      </c>
      <c r="I38" t="str">
        <f>IF(Calculations!$C38="","",VLOOKUP($B38,Calculations!$C$3:$T$31,10,FALSE))</f>
        <v/>
      </c>
      <c r="J38" t="str">
        <f>IF(Calculations!$C38="","",VLOOKUP($B38,Calculations!$C$3:$T$31,11,FALSE))</f>
        <v/>
      </c>
      <c r="K38" t="str">
        <f>IF(Calculations!$C38="","",VLOOKUP($B38,Calculations!$C$3:$T$31,12,FALSE))</f>
        <v/>
      </c>
      <c r="L38" t="str">
        <f>IF(Calculations!$C38="","",VLOOKUP($B38,Calculations!$C$3:$T$31,13,FALSE))</f>
        <v/>
      </c>
      <c r="M38" t="str">
        <f>IF(Calculations!$C38="","",VLOOKUP($B38,Calculations!$C$3:$T$31,14,FALSE))</f>
        <v/>
      </c>
    </row>
    <row r="39" spans="1:16" x14ac:dyDescent="0.3">
      <c r="D39" t="str">
        <f>IF(Calculations!$C39="","",VLOOKUP($B39,Calculations!$C$3:$T$31,3,FALSE))</f>
        <v/>
      </c>
      <c r="E39" t="str">
        <f>IF(Calculations!$C39="","",VLOOKUP($B39,Calculations!$C$3:$T$31,4,FALSE))</f>
        <v/>
      </c>
      <c r="H39" t="str">
        <f>IF(Calculations!$C39="","",VLOOKUP($B39,Calculations!$C$3:$T$31,7,FALSE))</f>
        <v/>
      </c>
      <c r="I39" t="str">
        <f>IF(Calculations!$C39="","",VLOOKUP($B39,Calculations!$C$3:$T$31,10,FALSE))</f>
        <v/>
      </c>
      <c r="J39" t="str">
        <f>IF(Calculations!$C39="","",VLOOKUP($B39,Calculations!$C$3:$T$31,11,FALSE))</f>
        <v/>
      </c>
      <c r="K39" t="str">
        <f>IF(Calculations!$C39="","",VLOOKUP($B39,Calculations!$C$3:$T$31,12,FALSE))</f>
        <v/>
      </c>
      <c r="L39" t="str">
        <f>IF(Calculations!$C39="","",VLOOKUP($B39,Calculations!$C$3:$T$31,13,FALSE))</f>
        <v/>
      </c>
    </row>
    <row r="40" spans="1:16" x14ac:dyDescent="0.3">
      <c r="E40" t="str">
        <f>IF(Calculations!$C40="","",VLOOKUP($B40,Calculations!$C$3:$T$31,4,FALSE))</f>
        <v/>
      </c>
    </row>
    <row r="41" spans="1:16" x14ac:dyDescent="0.3">
      <c r="E41" t="str">
        <f>IF(Calculations!$C41="","",VLOOKUP($B41,Calculations!$C$3:$T$31,4,FALSE))</f>
        <v/>
      </c>
    </row>
    <row r="42" spans="1:16" x14ac:dyDescent="0.3">
      <c r="E42" t="str">
        <f>IF(Calculations!$C42="","",VLOOKUP($B42,Calculations!$C$3:$T$31,4,FALSE))</f>
        <v/>
      </c>
    </row>
    <row r="43" spans="1:16" x14ac:dyDescent="0.3">
      <c r="E43" t="str">
        <f>IF(Calculations!$C43="","",VLOOKUP($B43,Calculations!$C$3:$T$31,4,FALSE))</f>
        <v/>
      </c>
    </row>
  </sheetData>
  <mergeCells count="2">
    <mergeCell ref="D1:H1"/>
    <mergeCell ref="I1:M1"/>
  </mergeCell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C1:H63"/>
  <sheetViews>
    <sheetView zoomScaleNormal="100" workbookViewId="0">
      <selection activeCell="B40" sqref="B40"/>
    </sheetView>
  </sheetViews>
  <sheetFormatPr defaultRowHeight="14.4" x14ac:dyDescent="0.3"/>
  <sheetData>
    <row r="1" spans="3:7" x14ac:dyDescent="0.3">
      <c r="C1" s="3"/>
    </row>
    <row r="2" spans="3:7" x14ac:dyDescent="0.3">
      <c r="C2" s="2"/>
      <c r="D2" s="4"/>
    </row>
    <row r="3" spans="3:7" x14ac:dyDescent="0.3">
      <c r="C3" s="3" t="s">
        <v>55</v>
      </c>
      <c r="D3" s="5"/>
    </row>
    <row r="4" spans="3:7" x14ac:dyDescent="0.3">
      <c r="D4" s="2"/>
      <c r="E4" s="4"/>
    </row>
    <row r="5" spans="3:7" x14ac:dyDescent="0.3">
      <c r="C5" s="3"/>
      <c r="D5" s="5"/>
      <c r="E5" s="5"/>
    </row>
    <row r="6" spans="3:7" x14ac:dyDescent="0.3">
      <c r="C6" s="2"/>
      <c r="D6" s="4"/>
      <c r="E6" s="5"/>
    </row>
    <row r="7" spans="3:7" x14ac:dyDescent="0.3">
      <c r="C7" s="3" t="s">
        <v>70</v>
      </c>
      <c r="E7" s="2"/>
    </row>
    <row r="8" spans="3:7" x14ac:dyDescent="0.3">
      <c r="E8" s="2"/>
      <c r="F8" s="4"/>
    </row>
    <row r="9" spans="3:7" x14ac:dyDescent="0.3">
      <c r="C9" s="3" t="s">
        <v>68</v>
      </c>
      <c r="E9" s="2"/>
      <c r="F9" s="5"/>
    </row>
    <row r="10" spans="3:7" x14ac:dyDescent="0.3">
      <c r="C10" s="2"/>
      <c r="D10" s="4"/>
      <c r="E10" s="5"/>
      <c r="F10" s="5"/>
    </row>
    <row r="11" spans="3:7" x14ac:dyDescent="0.3">
      <c r="C11" s="3" t="s">
        <v>79</v>
      </c>
      <c r="D11" s="5"/>
      <c r="E11" s="5"/>
      <c r="F11" s="5"/>
    </row>
    <row r="12" spans="3:7" x14ac:dyDescent="0.3">
      <c r="D12" s="2"/>
      <c r="E12" s="4"/>
      <c r="F12" s="5"/>
    </row>
    <row r="13" spans="3:7" x14ac:dyDescent="0.3">
      <c r="C13" s="3" t="s">
        <v>56</v>
      </c>
      <c r="D13" s="5"/>
      <c r="F13" s="2"/>
    </row>
    <row r="14" spans="3:7" x14ac:dyDescent="0.3">
      <c r="C14" s="2"/>
      <c r="D14" s="4"/>
      <c r="F14" s="2"/>
    </row>
    <row r="15" spans="3:7" x14ac:dyDescent="0.3">
      <c r="C15" s="3" t="s">
        <v>78</v>
      </c>
      <c r="F15" s="2"/>
    </row>
    <row r="16" spans="3:7" x14ac:dyDescent="0.3">
      <c r="F16" s="2"/>
      <c r="G16" s="4"/>
    </row>
    <row r="17" spans="3:8" x14ac:dyDescent="0.3">
      <c r="C17" s="3" t="s">
        <v>72</v>
      </c>
      <c r="F17" s="2"/>
      <c r="G17" s="5"/>
    </row>
    <row r="18" spans="3:8" x14ac:dyDescent="0.3">
      <c r="C18" s="2"/>
      <c r="D18" s="4"/>
      <c r="F18" s="2"/>
      <c r="G18" s="5"/>
    </row>
    <row r="19" spans="3:8" x14ac:dyDescent="0.3">
      <c r="C19" s="3" t="s">
        <v>52</v>
      </c>
      <c r="D19" s="5"/>
      <c r="F19" s="2"/>
      <c r="G19" s="5"/>
    </row>
    <row r="20" spans="3:8" x14ac:dyDescent="0.3">
      <c r="D20" s="2"/>
      <c r="E20" s="4"/>
      <c r="F20" s="5"/>
      <c r="G20" s="5"/>
    </row>
    <row r="21" spans="3:8" x14ac:dyDescent="0.3">
      <c r="C21" s="3" t="s">
        <v>76</v>
      </c>
      <c r="D21" s="5"/>
      <c r="E21" s="5"/>
      <c r="F21" s="5"/>
      <c r="G21" s="5"/>
    </row>
    <row r="22" spans="3:8" x14ac:dyDescent="0.3">
      <c r="C22" s="2"/>
      <c r="D22" s="4"/>
      <c r="E22" s="5"/>
      <c r="F22" s="5"/>
      <c r="G22" s="5"/>
    </row>
    <row r="23" spans="3:8" x14ac:dyDescent="0.3">
      <c r="C23" s="3" t="s">
        <v>62</v>
      </c>
      <c r="E23" s="2"/>
      <c r="F23" s="5"/>
      <c r="G23" s="5"/>
    </row>
    <row r="24" spans="3:8" x14ac:dyDescent="0.3">
      <c r="E24" s="2"/>
      <c r="F24" s="4"/>
      <c r="G24" s="5"/>
    </row>
    <row r="25" spans="3:8" x14ac:dyDescent="0.3">
      <c r="C25" s="3" t="s">
        <v>66</v>
      </c>
      <c r="E25" s="2"/>
      <c r="G25" s="2"/>
    </row>
    <row r="26" spans="3:8" x14ac:dyDescent="0.3">
      <c r="C26" s="2"/>
      <c r="D26" s="4"/>
      <c r="E26" s="5"/>
      <c r="G26" s="2"/>
    </row>
    <row r="27" spans="3:8" x14ac:dyDescent="0.3">
      <c r="C27" s="3" t="s">
        <v>57</v>
      </c>
      <c r="D27" s="5"/>
      <c r="E27" s="5"/>
      <c r="G27" s="2"/>
    </row>
    <row r="28" spans="3:8" x14ac:dyDescent="0.3">
      <c r="D28" s="2"/>
      <c r="E28" s="4"/>
      <c r="G28" s="2"/>
    </row>
    <row r="29" spans="3:8" x14ac:dyDescent="0.3">
      <c r="C29" s="3" t="s">
        <v>74</v>
      </c>
      <c r="D29" s="5"/>
      <c r="G29" s="2"/>
    </row>
    <row r="30" spans="3:8" x14ac:dyDescent="0.3">
      <c r="C30" s="2"/>
      <c r="D30" s="4"/>
      <c r="G30" s="2"/>
    </row>
    <row r="31" spans="3:8" x14ac:dyDescent="0.3">
      <c r="C31" s="3" t="s">
        <v>65</v>
      </c>
      <c r="G31" s="2"/>
    </row>
    <row r="32" spans="3:8" x14ac:dyDescent="0.3">
      <c r="G32" s="2"/>
      <c r="H32" s="22"/>
    </row>
    <row r="33" spans="3:7" x14ac:dyDescent="0.3">
      <c r="C33" s="3" t="s">
        <v>54</v>
      </c>
      <c r="G33" s="2"/>
    </row>
    <row r="34" spans="3:7" x14ac:dyDescent="0.3">
      <c r="C34" s="2"/>
      <c r="D34" s="4"/>
      <c r="G34" s="2"/>
    </row>
    <row r="35" spans="3:7" x14ac:dyDescent="0.3">
      <c r="C35" s="3" t="s">
        <v>58</v>
      </c>
      <c r="D35" s="5"/>
      <c r="G35" s="2"/>
    </row>
    <row r="36" spans="3:7" x14ac:dyDescent="0.3">
      <c r="D36" s="2"/>
      <c r="E36" s="4"/>
      <c r="G36" s="2"/>
    </row>
    <row r="37" spans="3:7" x14ac:dyDescent="0.3">
      <c r="C37" s="3" t="s">
        <v>75</v>
      </c>
      <c r="D37" s="5"/>
      <c r="E37" s="5"/>
      <c r="G37" s="2"/>
    </row>
    <row r="38" spans="3:7" x14ac:dyDescent="0.3">
      <c r="C38" s="2"/>
      <c r="D38" s="22"/>
      <c r="E38" s="2"/>
      <c r="G38" s="2"/>
    </row>
    <row r="39" spans="3:7" x14ac:dyDescent="0.3">
      <c r="C39" s="3" t="s">
        <v>60</v>
      </c>
      <c r="E39" s="2"/>
      <c r="G39" s="2"/>
    </row>
    <row r="40" spans="3:7" x14ac:dyDescent="0.3">
      <c r="E40" s="2"/>
      <c r="F40" s="22"/>
      <c r="G40" s="2"/>
    </row>
    <row r="41" spans="3:7" x14ac:dyDescent="0.3">
      <c r="C41" s="3" t="s">
        <v>63</v>
      </c>
      <c r="E41" s="2"/>
      <c r="F41" s="5"/>
      <c r="G41" s="5"/>
    </row>
    <row r="42" spans="3:7" x14ac:dyDescent="0.3">
      <c r="C42" s="2"/>
      <c r="D42" s="4"/>
      <c r="E42" s="5"/>
      <c r="F42" s="5"/>
      <c r="G42" s="5"/>
    </row>
    <row r="43" spans="3:7" x14ac:dyDescent="0.3">
      <c r="C43" s="3" t="s">
        <v>61</v>
      </c>
      <c r="D43" s="5"/>
      <c r="E43" s="5"/>
      <c r="F43" s="5"/>
      <c r="G43" s="5"/>
    </row>
    <row r="44" spans="3:7" x14ac:dyDescent="0.3">
      <c r="D44" s="2"/>
      <c r="E44" s="4"/>
      <c r="F44" s="5"/>
      <c r="G44" s="5"/>
    </row>
    <row r="45" spans="3:7" x14ac:dyDescent="0.3">
      <c r="C45" s="3" t="s">
        <v>59</v>
      </c>
      <c r="D45" s="5"/>
      <c r="F45" s="2"/>
      <c r="G45" s="5"/>
    </row>
    <row r="46" spans="3:7" x14ac:dyDescent="0.3">
      <c r="C46" s="2"/>
      <c r="D46" s="22"/>
      <c r="F46" s="2"/>
      <c r="G46" s="5"/>
    </row>
    <row r="47" spans="3:7" x14ac:dyDescent="0.3">
      <c r="C47" s="3" t="s">
        <v>53</v>
      </c>
      <c r="F47" s="2"/>
      <c r="G47" s="5"/>
    </row>
    <row r="48" spans="3:7" x14ac:dyDescent="0.3">
      <c r="F48" s="2"/>
      <c r="G48" s="4"/>
    </row>
    <row r="49" spans="3:6" x14ac:dyDescent="0.3">
      <c r="C49" s="3" t="s">
        <v>64</v>
      </c>
      <c r="F49" s="2"/>
    </row>
    <row r="50" spans="3:6" x14ac:dyDescent="0.3">
      <c r="C50" s="2"/>
      <c r="D50" s="4"/>
      <c r="F50" s="2"/>
    </row>
    <row r="51" spans="3:6" x14ac:dyDescent="0.3">
      <c r="C51" s="3" t="s">
        <v>67</v>
      </c>
      <c r="D51" s="5"/>
      <c r="F51" s="2"/>
    </row>
    <row r="52" spans="3:6" x14ac:dyDescent="0.3">
      <c r="D52" s="2"/>
      <c r="E52" s="4"/>
      <c r="F52" s="5"/>
    </row>
    <row r="53" spans="3:6" x14ac:dyDescent="0.3">
      <c r="C53" s="3" t="s">
        <v>69</v>
      </c>
      <c r="D53" s="5"/>
      <c r="E53" s="5"/>
      <c r="F53" s="5"/>
    </row>
    <row r="54" spans="3:6" x14ac:dyDescent="0.3">
      <c r="C54" s="2"/>
      <c r="D54" s="22"/>
      <c r="E54" s="2"/>
      <c r="F54" s="5"/>
    </row>
    <row r="55" spans="3:6" x14ac:dyDescent="0.3">
      <c r="C55" s="3" t="s">
        <v>71</v>
      </c>
      <c r="E55" s="2"/>
      <c r="F55" s="5"/>
    </row>
    <row r="56" spans="3:6" x14ac:dyDescent="0.3">
      <c r="E56" s="2"/>
      <c r="F56" s="4"/>
    </row>
    <row r="57" spans="3:6" x14ac:dyDescent="0.3">
      <c r="C57" s="3" t="s">
        <v>73</v>
      </c>
      <c r="E57" s="2"/>
    </row>
    <row r="58" spans="3:6" x14ac:dyDescent="0.3">
      <c r="C58" s="2"/>
      <c r="D58" s="4"/>
      <c r="E58" s="5"/>
    </row>
    <row r="59" spans="3:6" x14ac:dyDescent="0.3">
      <c r="C59" s="3" t="s">
        <v>51</v>
      </c>
      <c r="D59" s="5"/>
      <c r="E59" s="5"/>
    </row>
    <row r="60" spans="3:6" x14ac:dyDescent="0.3">
      <c r="D60" s="2"/>
      <c r="E60" s="4"/>
    </row>
    <row r="61" spans="3:6" x14ac:dyDescent="0.3">
      <c r="C61" s="3"/>
      <c r="D61" s="5"/>
    </row>
    <row r="62" spans="3:6" x14ac:dyDescent="0.3">
      <c r="C62" s="2"/>
      <c r="D62" s="22"/>
    </row>
    <row r="63" spans="3:6" x14ac:dyDescent="0.3">
      <c r="C63" s="3" t="s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8"/>
  <sheetViews>
    <sheetView workbookViewId="0">
      <selection activeCell="H8" sqref="H8"/>
    </sheetView>
  </sheetViews>
  <sheetFormatPr defaultRowHeight="14.4" x14ac:dyDescent="0.3"/>
  <sheetData>
    <row r="1" spans="1:8" x14ac:dyDescent="0.3">
      <c r="B1" t="s">
        <v>48</v>
      </c>
      <c r="C1" t="s">
        <v>44</v>
      </c>
      <c r="D1" t="s">
        <v>45</v>
      </c>
      <c r="E1" t="s">
        <v>47</v>
      </c>
      <c r="F1" t="s">
        <v>41</v>
      </c>
      <c r="G1" t="s">
        <v>43</v>
      </c>
      <c r="H1" t="s">
        <v>46</v>
      </c>
    </row>
    <row r="2" spans="1:8" x14ac:dyDescent="0.3">
      <c r="A2" t="s">
        <v>44</v>
      </c>
      <c r="B2">
        <v>1</v>
      </c>
    </row>
    <row r="3" spans="1:8" x14ac:dyDescent="0.3">
      <c r="A3" t="s">
        <v>45</v>
      </c>
      <c r="B3">
        <v>2</v>
      </c>
      <c r="C3">
        <v>3</v>
      </c>
    </row>
    <row r="4" spans="1:8" x14ac:dyDescent="0.3">
      <c r="A4" t="s">
        <v>47</v>
      </c>
      <c r="B4">
        <v>3</v>
      </c>
      <c r="C4">
        <v>4</v>
      </c>
      <c r="D4">
        <v>5</v>
      </c>
    </row>
    <row r="5" spans="1:8" x14ac:dyDescent="0.3">
      <c r="A5" t="s">
        <v>41</v>
      </c>
      <c r="B5">
        <v>4</v>
      </c>
      <c r="C5">
        <v>5</v>
      </c>
      <c r="D5">
        <v>6</v>
      </c>
      <c r="E5">
        <v>7</v>
      </c>
    </row>
    <row r="6" spans="1:8" x14ac:dyDescent="0.3">
      <c r="A6" t="s">
        <v>43</v>
      </c>
      <c r="B6">
        <v>5</v>
      </c>
      <c r="C6">
        <v>6</v>
      </c>
      <c r="D6">
        <v>7</v>
      </c>
      <c r="E6">
        <v>1</v>
      </c>
      <c r="F6">
        <v>2</v>
      </c>
    </row>
    <row r="7" spans="1:8" x14ac:dyDescent="0.3">
      <c r="A7" t="s">
        <v>46</v>
      </c>
      <c r="B7">
        <v>6</v>
      </c>
      <c r="C7">
        <v>7</v>
      </c>
      <c r="D7">
        <v>1</v>
      </c>
      <c r="E7">
        <v>2</v>
      </c>
      <c r="F7">
        <v>3</v>
      </c>
      <c r="G7">
        <v>4</v>
      </c>
    </row>
    <row r="8" spans="1:8" x14ac:dyDescent="0.3">
      <c r="A8" t="s">
        <v>42</v>
      </c>
      <c r="B8">
        <v>7</v>
      </c>
      <c r="C8">
        <v>2</v>
      </c>
      <c r="D8">
        <v>4</v>
      </c>
      <c r="E8">
        <v>6</v>
      </c>
      <c r="F8">
        <v>1</v>
      </c>
      <c r="G8">
        <v>3</v>
      </c>
      <c r="H8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37"/>
  <sheetViews>
    <sheetView topLeftCell="A4" workbookViewId="0">
      <selection activeCell="A14" sqref="A14"/>
    </sheetView>
  </sheetViews>
  <sheetFormatPr defaultRowHeight="14.4" x14ac:dyDescent="0.3"/>
  <cols>
    <col min="2" max="2" width="29.44140625" customWidth="1"/>
  </cols>
  <sheetData>
    <row r="1" spans="1:4" x14ac:dyDescent="0.3">
      <c r="A1" s="1" t="s">
        <v>0</v>
      </c>
      <c r="B1" s="1" t="s">
        <v>15</v>
      </c>
      <c r="C1" s="1" t="s">
        <v>16</v>
      </c>
    </row>
    <row r="2" spans="1:4" x14ac:dyDescent="0.3">
      <c r="A2" t="str">
        <f>IF(Teams!A2="","",Teams!A2)</f>
        <v>Team 1</v>
      </c>
      <c r="B2">
        <f ca="1">IF(A2="","",RAND())</f>
        <v>0.84024203786892715</v>
      </c>
      <c r="C2">
        <f ca="1">IF(B2="","",RANK(B2,INDIRECT("$B$2:$B$"&amp;Teams!$E$4+1))+COUNTIF(C$1:C1,C1)-1)</f>
        <v>3</v>
      </c>
      <c r="D2" t="s">
        <v>77</v>
      </c>
    </row>
    <row r="3" spans="1:4" x14ac:dyDescent="0.3">
      <c r="A3" t="str">
        <f>IF(Teams!A3="","",Teams!A3)</f>
        <v>Team 2</v>
      </c>
      <c r="B3">
        <f ca="1">IF(A3="","",RAND())</f>
        <v>0.68483681697679644</v>
      </c>
      <c r="C3">
        <f ca="1">IF(B3="","",RANK(B3,INDIRECT("$B$2:$B$"&amp;Teams!$E$4+1))+COUNTIF(C$1:C2,C2)-1)</f>
        <v>10</v>
      </c>
      <c r="D3" t="s">
        <v>55</v>
      </c>
    </row>
    <row r="4" spans="1:4" x14ac:dyDescent="0.3">
      <c r="A4" t="str">
        <f>IF(Teams!A4="","",Teams!A4)</f>
        <v>Team 3</v>
      </c>
      <c r="B4">
        <f t="shared" ref="B4:B33" ca="1" si="0">IF(A4="","",RAND())</f>
        <v>0.68421127880242216</v>
      </c>
      <c r="C4">
        <f ca="1">IF(B4="","",RANK(B4,INDIRECT("$B$2:$B$"&amp;Teams!$E$4+1))+COUNTIF(C$1:C3,C3)-1)</f>
        <v>11</v>
      </c>
      <c r="D4" t="s">
        <v>51</v>
      </c>
    </row>
    <row r="5" spans="1:4" x14ac:dyDescent="0.3">
      <c r="A5" t="str">
        <f>IF(Teams!A5="","",Teams!A5)</f>
        <v>Team 4</v>
      </c>
      <c r="B5">
        <f t="shared" ca="1" si="0"/>
        <v>0.37825270686094092</v>
      </c>
      <c r="C5">
        <f ca="1">IF(B5="","",RANK(B5,INDIRECT("$B$2:$B$"&amp;Teams!$E$4+1))+COUNTIF(C$1:C4,C4)-1)</f>
        <v>18</v>
      </c>
      <c r="D5" t="s">
        <v>70</v>
      </c>
    </row>
    <row r="6" spans="1:4" x14ac:dyDescent="0.3">
      <c r="A6" t="str">
        <f>IF(Teams!A6="","",Teams!A6)</f>
        <v>Team 5</v>
      </c>
      <c r="B6">
        <f t="shared" ca="1" si="0"/>
        <v>0.87767696985313948</v>
      </c>
      <c r="C6">
        <f ca="1">IF(B6="","",RANK(B6,INDIRECT("$B$2:$B$"&amp;Teams!$E$4+1))+COUNTIF(C$1:C5,C5)-1)</f>
        <v>2</v>
      </c>
      <c r="D6" t="s">
        <v>56</v>
      </c>
    </row>
    <row r="7" spans="1:4" x14ac:dyDescent="0.3">
      <c r="A7" t="str">
        <f>IF(Teams!A7="","",Teams!A7)</f>
        <v>Team 6</v>
      </c>
      <c r="B7">
        <f t="shared" ca="1" si="0"/>
        <v>0.82597807481639407</v>
      </c>
      <c r="C7">
        <f ca="1">IF(B7="","",RANK(B7,INDIRECT("$B$2:$B$"&amp;Teams!$E$4+1))+COUNTIF(C$1:C6,C6)-1)</f>
        <v>5</v>
      </c>
      <c r="D7" t="s">
        <v>79</v>
      </c>
    </row>
    <row r="8" spans="1:4" x14ac:dyDescent="0.3">
      <c r="A8" t="str">
        <f>IF(Teams!A8="","",Teams!A8)</f>
        <v>Team 7</v>
      </c>
      <c r="B8">
        <f t="shared" ca="1" si="0"/>
        <v>0.47407381486410038</v>
      </c>
      <c r="C8">
        <f ca="1">IF(B8="","",RANK(B8,INDIRECT("$B$2:$B$"&amp;Teams!$E$4+1))+COUNTIF(C$1:C7,C7)-1)</f>
        <v>14</v>
      </c>
      <c r="D8" t="s">
        <v>71</v>
      </c>
    </row>
    <row r="9" spans="1:4" x14ac:dyDescent="0.3">
      <c r="A9" t="str">
        <f>IF(Teams!A9="","",Teams!A9)</f>
        <v>Team 8</v>
      </c>
      <c r="B9">
        <f t="shared" ca="1" si="0"/>
        <v>0.41735545549015618</v>
      </c>
      <c r="C9">
        <f ca="1">IF(B9="","",RANK(B9,INDIRECT("$B$2:$B$"&amp;Teams!$E$4+1))+COUNTIF(C$1:C8,C8)-1)</f>
        <v>17</v>
      </c>
      <c r="D9" t="s">
        <v>78</v>
      </c>
    </row>
    <row r="10" spans="1:4" x14ac:dyDescent="0.3">
      <c r="A10" t="str">
        <f>IF(Teams!A10="","",Teams!A10)</f>
        <v>Team 9</v>
      </c>
      <c r="B10">
        <f t="shared" ca="1" si="0"/>
        <v>0.23867910633745804</v>
      </c>
      <c r="C10">
        <f ca="1">IF(B10="","",RANK(B10,INDIRECT("$B$2:$B$"&amp;Teams!$E$4+1))+COUNTIF(C$1:C9,C9)-1)</f>
        <v>23</v>
      </c>
      <c r="D10" t="s">
        <v>67</v>
      </c>
    </row>
    <row r="11" spans="1:4" x14ac:dyDescent="0.3">
      <c r="A11" t="str">
        <f>IF(Teams!A11="","",Teams!A11)</f>
        <v>Team 10</v>
      </c>
      <c r="B11">
        <f t="shared" ca="1" si="0"/>
        <v>0.46560521367019592</v>
      </c>
      <c r="C11">
        <f ca="1">IF(B11="","",RANK(B11,INDIRECT("$B$2:$B$"&amp;Teams!$E$4+1))+COUNTIF(C$1:C10,C10)-1)</f>
        <v>15</v>
      </c>
      <c r="D11" t="s">
        <v>52</v>
      </c>
    </row>
    <row r="12" spans="1:4" x14ac:dyDescent="0.3">
      <c r="A12" t="str">
        <f>IF(Teams!A12="","",Teams!A12)</f>
        <v>Team 11</v>
      </c>
      <c r="B12">
        <f t="shared" ca="1" si="0"/>
        <v>0.59492625707642788</v>
      </c>
      <c r="C12">
        <f ca="1">IF(B12="","",RANK(B12,INDIRECT("$B$2:$B$"&amp;Teams!$E$4+1))+COUNTIF(C$1:C11,C11)-1)</f>
        <v>13</v>
      </c>
      <c r="D12" t="s">
        <v>53</v>
      </c>
    </row>
    <row r="13" spans="1:4" x14ac:dyDescent="0.3">
      <c r="A13" t="str">
        <f>IF(Teams!A13="","",Teams!A13)</f>
        <v>Team 12</v>
      </c>
      <c r="B13">
        <f t="shared" ca="1" si="0"/>
        <v>0.60711056448328793</v>
      </c>
      <c r="C13">
        <f ca="1">IF(B13="","",RANK(B13,INDIRECT("$B$2:$B$"&amp;Teams!$E$4+1))+COUNTIF(C$1:C12,C12)-1)</f>
        <v>12</v>
      </c>
      <c r="D13" t="s">
        <v>62</v>
      </c>
    </row>
    <row r="14" spans="1:4" x14ac:dyDescent="0.3">
      <c r="A14" t="str">
        <f>IF(Teams!A14="","",Teams!A14)</f>
        <v>Team 13</v>
      </c>
      <c r="B14">
        <f t="shared" ca="1" si="0"/>
        <v>0.28075758951900598</v>
      </c>
      <c r="C14">
        <f ca="1">IF(B14="","",RANK(B14,INDIRECT("$B$2:$B$"&amp;Teams!$E$4+1))+COUNTIF(C$1:C13,C13)-1)</f>
        <v>21</v>
      </c>
      <c r="D14" t="s">
        <v>61</v>
      </c>
    </row>
    <row r="15" spans="1:4" x14ac:dyDescent="0.3">
      <c r="A15" t="str">
        <f>IF(Teams!A15="","",Teams!A15)</f>
        <v>Team 14</v>
      </c>
      <c r="B15">
        <f t="shared" ca="1" si="0"/>
        <v>0.16752444401794941</v>
      </c>
      <c r="C15">
        <f ca="1">IF(B15="","",RANK(B15,INDIRECT("$B$2:$B$"&amp;Teams!$E$4+1))+COUNTIF(C$1:C14,C14)-1)</f>
        <v>25</v>
      </c>
      <c r="D15" t="s">
        <v>57</v>
      </c>
    </row>
    <row r="16" spans="1:4" x14ac:dyDescent="0.3">
      <c r="A16" t="str">
        <f>IF(Teams!A16="","",Teams!A16)</f>
        <v>Team 15</v>
      </c>
      <c r="B16">
        <f t="shared" ca="1" si="0"/>
        <v>0.45514682059507261</v>
      </c>
      <c r="C16">
        <f ca="1">IF(B16="","",RANK(B16,INDIRECT("$B$2:$B$"&amp;Teams!$E$4+1))+COUNTIF(C$1:C15,C15)-1)</f>
        <v>16</v>
      </c>
      <c r="D16" t="s">
        <v>60</v>
      </c>
    </row>
    <row r="17" spans="1:4" x14ac:dyDescent="0.3">
      <c r="A17" t="str">
        <f>IF(Teams!A17="","",Teams!A17)</f>
        <v>Team 16</v>
      </c>
      <c r="B17">
        <f t="shared" ca="1" si="0"/>
        <v>0.24745529409109468</v>
      </c>
      <c r="C17">
        <f ca="1">IF(B17="","",RANK(B17,INDIRECT("$B$2:$B$"&amp;Teams!$E$4+1))+COUNTIF(C$1:C16,C16)-1)</f>
        <v>22</v>
      </c>
      <c r="D17" t="s">
        <v>65</v>
      </c>
    </row>
    <row r="18" spans="1:4" x14ac:dyDescent="0.3">
      <c r="A18" t="str">
        <f>IF(Teams!A18="","",Teams!A18)</f>
        <v>Team 17</v>
      </c>
      <c r="B18">
        <f t="shared" ca="1" si="0"/>
        <v>0.6864854304528818</v>
      </c>
      <c r="C18">
        <f ca="1">IF(B18="","",RANK(B18,INDIRECT("$B$2:$B$"&amp;Teams!$E$4+1))+COUNTIF(C$1:C17,C17)-1)</f>
        <v>9</v>
      </c>
      <c r="D18" t="s">
        <v>58</v>
      </c>
    </row>
    <row r="19" spans="1:4" x14ac:dyDescent="0.3">
      <c r="A19" t="str">
        <f>IF(Teams!A19="","",Teams!A19)</f>
        <v>Team 18</v>
      </c>
      <c r="B19">
        <f t="shared" ca="1" si="0"/>
        <v>2.1902595245422818E-2</v>
      </c>
      <c r="C19">
        <f ca="1">IF(B19="","",RANK(B19,INDIRECT("$B$2:$B$"&amp;Teams!$E$4+1))+COUNTIF(C$1:C18,C18)-1)</f>
        <v>28</v>
      </c>
      <c r="D19" t="s">
        <v>54</v>
      </c>
    </row>
    <row r="20" spans="1:4" x14ac:dyDescent="0.3">
      <c r="A20" t="str">
        <f>IF(Teams!A20="","",Teams!A20)</f>
        <v>Team 19</v>
      </c>
      <c r="B20">
        <f t="shared" ca="1" si="0"/>
        <v>8.2608814072525072E-2</v>
      </c>
      <c r="C20">
        <f ca="1">IF(B20="","",RANK(B20,INDIRECT("$B$2:$B$"&amp;Teams!$E$4+1))+COUNTIF(C$1:C19,C19)-1)</f>
        <v>27</v>
      </c>
      <c r="D20" t="s">
        <v>75</v>
      </c>
    </row>
    <row r="21" spans="1:4" x14ac:dyDescent="0.3">
      <c r="A21" t="str">
        <f>IF(Teams!A21="","",Teams!A21)</f>
        <v>Team 20</v>
      </c>
      <c r="B21">
        <f t="shared" ca="1" si="0"/>
        <v>0.83432617118957797</v>
      </c>
      <c r="C21">
        <f ca="1">IF(B21="","",RANK(B21,INDIRECT("$B$2:$B$"&amp;Teams!$E$4+1))+COUNTIF(C$1:C20,C20)-1)</f>
        <v>4</v>
      </c>
      <c r="D21" t="s">
        <v>74</v>
      </c>
    </row>
    <row r="22" spans="1:4" x14ac:dyDescent="0.3">
      <c r="A22" t="str">
        <f>IF(Teams!A22="","",Teams!A22)</f>
        <v>Team 21</v>
      </c>
      <c r="B22">
        <f t="shared" ca="1" si="0"/>
        <v>0.7315357670432332</v>
      </c>
      <c r="C22">
        <f ca="1">IF(B22="","",RANK(B22,INDIRECT("$B$2:$B$"&amp;Teams!$E$4+1))+COUNTIF(C$1:C21,C21)-1)</f>
        <v>7</v>
      </c>
      <c r="D22" t="s">
        <v>63</v>
      </c>
    </row>
    <row r="23" spans="1:4" x14ac:dyDescent="0.3">
      <c r="A23" t="str">
        <f>IF(Teams!A23="","",Teams!A23)</f>
        <v>Team 22</v>
      </c>
      <c r="B23">
        <f t="shared" ca="1" si="0"/>
        <v>0.10098406221024181</v>
      </c>
      <c r="C23">
        <f ca="1">IF(B23="","",RANK(B23,INDIRECT("$B$2:$B$"&amp;Teams!$E$4+1))+COUNTIF(C$1:C22,C22)-1)</f>
        <v>26</v>
      </c>
      <c r="D23" t="s">
        <v>66</v>
      </c>
    </row>
    <row r="24" spans="1:4" x14ac:dyDescent="0.3">
      <c r="A24" t="str">
        <f>IF(Teams!A24="","",Teams!A24)</f>
        <v>Team 23</v>
      </c>
      <c r="B24">
        <f t="shared" ca="1" si="0"/>
        <v>7.0830091423459418E-3</v>
      </c>
      <c r="C24">
        <f ca="1">IF(B24="","",RANK(B24,INDIRECT("$B$2:$B$"&amp;Teams!$E$4+1))+COUNTIF(C$1:C23,C23)-1)</f>
        <v>29</v>
      </c>
      <c r="D24" t="s">
        <v>59</v>
      </c>
    </row>
    <row r="25" spans="1:4" x14ac:dyDescent="0.3">
      <c r="A25" t="str">
        <f>IF(Teams!A25="","",Teams!A25)</f>
        <v>Team 24</v>
      </c>
      <c r="B25">
        <f t="shared" ca="1" si="0"/>
        <v>0.31767639999875452</v>
      </c>
      <c r="C25">
        <f ca="1">IF(B25="","",RANK(B25,INDIRECT("$B$2:$B$"&amp;Teams!$E$4+1))+COUNTIF(C$1:C24,C24)-1)</f>
        <v>20</v>
      </c>
      <c r="D25" t="s">
        <v>76</v>
      </c>
    </row>
    <row r="26" spans="1:4" x14ac:dyDescent="0.3">
      <c r="A26" t="str">
        <f>IF(Teams!A26="","",Teams!A26)</f>
        <v>Team 25</v>
      </c>
      <c r="B26">
        <f t="shared" ca="1" si="0"/>
        <v>0.35512624407703153</v>
      </c>
      <c r="C26">
        <f ca="1">IF(B26="","",RANK(B26,INDIRECT("$B$2:$B$"&amp;Teams!$E$4+1))+COUNTIF(C$1:C25,C25)-1)</f>
        <v>19</v>
      </c>
      <c r="D26" t="s">
        <v>64</v>
      </c>
    </row>
    <row r="27" spans="1:4" x14ac:dyDescent="0.3">
      <c r="A27" t="str">
        <f>IF(Teams!A27="","",Teams!A27)</f>
        <v>Team 26</v>
      </c>
      <c r="B27">
        <f t="shared" ca="1" si="0"/>
        <v>0.21903330235743113</v>
      </c>
      <c r="C27">
        <f ca="1">IF(B27="","",RANK(B27,INDIRECT("$B$2:$B$"&amp;Teams!$E$4+1))+COUNTIF(C$1:C26,C26)-1)</f>
        <v>24</v>
      </c>
      <c r="D27" t="s">
        <v>72</v>
      </c>
    </row>
    <row r="28" spans="1:4" x14ac:dyDescent="0.3">
      <c r="A28" t="str">
        <f>IF(Teams!A28="","",Teams!A28)</f>
        <v>Team 27</v>
      </c>
      <c r="B28">
        <f t="shared" ca="1" si="0"/>
        <v>0.94709734387117339</v>
      </c>
      <c r="C28">
        <f ca="1">IF(B28="","",RANK(B28,INDIRECT("$B$2:$B$"&amp;Teams!$E$4+1))+COUNTIF(C$1:C27,C27)-1)</f>
        <v>1</v>
      </c>
      <c r="D28" t="s">
        <v>69</v>
      </c>
    </row>
    <row r="29" spans="1:4" x14ac:dyDescent="0.3">
      <c r="A29" t="str">
        <f>IF(Teams!A29="","",Teams!A29)</f>
        <v>Team 28</v>
      </c>
      <c r="B29">
        <f t="shared" ca="1" si="0"/>
        <v>0.72167866811740744</v>
      </c>
      <c r="C29">
        <f ca="1">IF(B29="","",RANK(B29,INDIRECT("$B$2:$B$"&amp;Teams!$E$4+1))+COUNTIF(C$1:C28,C28)-1)</f>
        <v>8</v>
      </c>
      <c r="D29" t="s">
        <v>68</v>
      </c>
    </row>
    <row r="30" spans="1:4" x14ac:dyDescent="0.3">
      <c r="A30" t="str">
        <f>IF(Teams!A30="","",Teams!A30)</f>
        <v>Team 29</v>
      </c>
      <c r="B30">
        <f t="shared" ca="1" si="0"/>
        <v>0.77778610247021285</v>
      </c>
      <c r="C30">
        <f ca="1">IF(B30="","",RANK(B30,INDIRECT("$B$2:$B$"&amp;Teams!$E$4+1))+COUNTIF(C$1:C29,C29)-1)</f>
        <v>6</v>
      </c>
      <c r="D30" t="s">
        <v>73</v>
      </c>
    </row>
    <row r="31" spans="1:4" x14ac:dyDescent="0.3">
      <c r="A31" t="str">
        <f>IF(Teams!A31="","",Teams!A31)</f>
        <v/>
      </c>
      <c r="B31" t="str">
        <f t="shared" ca="1" si="0"/>
        <v/>
      </c>
      <c r="C31" t="str">
        <f ca="1">IF(B31="","",RANK(B31,INDIRECT("$B$2:$B$"&amp;Teams!$E$4+1))+COUNTIF(C$1:C30,C30)-1)</f>
        <v/>
      </c>
    </row>
    <row r="32" spans="1:4" x14ac:dyDescent="0.3">
      <c r="A32" t="str">
        <f>IF(Teams!A32="","",Teams!A32)</f>
        <v/>
      </c>
      <c r="B32" t="str">
        <f t="shared" ca="1" si="0"/>
        <v/>
      </c>
      <c r="C32" t="str">
        <f ca="1">IF(B32="","",RANK(B32,INDIRECT("$B$2:$B$"&amp;Teams!$E$4+1))+COUNTIF(C$1:C31,C31)-1)</f>
        <v/>
      </c>
    </row>
    <row r="33" spans="1:3" x14ac:dyDescent="0.3">
      <c r="A33" t="str">
        <f>IF(Teams!A33="","",Teams!A33)</f>
        <v/>
      </c>
      <c r="B33" t="str">
        <f t="shared" ca="1" si="0"/>
        <v/>
      </c>
      <c r="C33" t="str">
        <f ca="1">IF(B33="","",RANK(B33,INDIRECT("$B$2:$B$"&amp;Teams!$E$4+1))+COUNTIF(C$1:C32,C32)-1)</f>
        <v/>
      </c>
    </row>
    <row r="34" spans="1:3" x14ac:dyDescent="0.3">
      <c r="C34" t="str">
        <f ca="1">IF(B34="","",RANK(B34,INDIRECT("$B$2:$B$"&amp;[1]Teams!$E$6+1))+COUNTIF(C$1:C33,C33)-1)</f>
        <v/>
      </c>
    </row>
    <row r="35" spans="1:3" x14ac:dyDescent="0.3">
      <c r="C35" t="str">
        <f ca="1">IF(B35="","",RANK(B35,INDIRECT("$B$2:$B$"&amp;[1]Teams!$E$6+1))+COUNTIF(C$1:C34,C34)-1)</f>
        <v/>
      </c>
    </row>
    <row r="36" spans="1:3" x14ac:dyDescent="0.3">
      <c r="C36" t="str">
        <f ca="1">IF(B36="","",RANK(B36,INDIRECT("$B$2:$B$"&amp;[1]Teams!$E$6+1))+COUNTIF(C$1:C35,C35)-1)</f>
        <v/>
      </c>
    </row>
    <row r="37" spans="1:3" x14ac:dyDescent="0.3">
      <c r="C37" t="str">
        <f ca="1">IF(B37="","",RANK(B37,INDIRECT("$B$2:$B$"&amp;[1]Teams!$E$6+1))+COUNTIF(C$1:C36,C36)-1)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E3"/>
  <sheetViews>
    <sheetView workbookViewId="0">
      <selection activeCell="E3" sqref="E3"/>
    </sheetView>
  </sheetViews>
  <sheetFormatPr defaultRowHeight="14.4" x14ac:dyDescent="0.3"/>
  <cols>
    <col min="1" max="1" width="11" customWidth="1"/>
  </cols>
  <sheetData>
    <row r="1" spans="1:5" x14ac:dyDescent="0.3">
      <c r="A1" t="s">
        <v>6</v>
      </c>
      <c r="B1" t="s">
        <v>10</v>
      </c>
    </row>
    <row r="2" spans="1:5" x14ac:dyDescent="0.3">
      <c r="A2" t="s">
        <v>9</v>
      </c>
      <c r="B2">
        <v>1</v>
      </c>
      <c r="E2">
        <v>3</v>
      </c>
    </row>
    <row r="3" spans="1:5" x14ac:dyDescent="0.3">
      <c r="A3" t="s">
        <v>7</v>
      </c>
      <c r="B3">
        <v>2</v>
      </c>
      <c r="E3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D9D1A23063B94C929F2CE77CD545AF" ma:contentTypeVersion="13" ma:contentTypeDescription="Create a new document." ma:contentTypeScope="" ma:versionID="25a7202535f9429bde93e5b148886cf0">
  <xsd:schema xmlns:xsd="http://www.w3.org/2001/XMLSchema" xmlns:xs="http://www.w3.org/2001/XMLSchema" xmlns:p="http://schemas.microsoft.com/office/2006/metadata/properties" xmlns:ns3="4b26a669-87a8-4dd1-8f42-67dafe8af431" xmlns:ns4="7f81bb03-e4b2-447d-bc0e-0e3a7330f6d7" targetNamespace="http://schemas.microsoft.com/office/2006/metadata/properties" ma:root="true" ma:fieldsID="37810b30bcebdb2bbf7f74cf54c0a8e8" ns3:_="" ns4:_="">
    <xsd:import namespace="4b26a669-87a8-4dd1-8f42-67dafe8af431"/>
    <xsd:import namespace="7f81bb03-e4b2-447d-bc0e-0e3a7330f6d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26a669-87a8-4dd1-8f42-67dafe8af4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81bb03-e4b2-447d-bc0e-0e3a7330f6d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018091D-9E85-410A-8006-D728F11410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26a669-87a8-4dd1-8f42-67dafe8af431"/>
    <ds:schemaRef ds:uri="7f81bb03-e4b2-447d-bc0e-0e3a7330f6d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973D706-3D43-4023-9FEE-9DE6A33226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2C6B6D-4D30-47E5-B290-6EDE6DA94987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7f81bb03-e4b2-447d-bc0e-0e3a7330f6d7"/>
    <ds:schemaRef ds:uri="4b26a669-87a8-4dd1-8f42-67dafe8af431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Teams</vt:lpstr>
      <vt:lpstr>Fixtures</vt:lpstr>
      <vt:lpstr>Calculations</vt:lpstr>
      <vt:lpstr>League Table</vt:lpstr>
      <vt:lpstr>fixture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Abhilash Gokhale</dc:creator>
  <cp:lastModifiedBy>Abhilash Gokhale</cp:lastModifiedBy>
  <dcterms:created xsi:type="dcterms:W3CDTF">2023-01-14T17:36:57Z</dcterms:created>
  <dcterms:modified xsi:type="dcterms:W3CDTF">2023-01-30T12:48:02Z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0x0101003CD9D1A23063B94C929F2CE77CD545AF</vt:lpwstr>
  </property>
</Properties>
</file>